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Presupuesto" sheetId="2" r:id="rId5"/>
    <sheet state="visible" name="Listas" sheetId="3" r:id="rId6"/>
    <sheet state="visible" name="Proyectos" sheetId="4" r:id="rId7"/>
  </sheets>
  <definedNames>
    <definedName hidden="1" localSheetId="2" name="_xlnm._FilterDatabase">Listas!$A$1:$Z$356</definedName>
    <definedName hidden="1" localSheetId="3" name="_xlnm._FilterDatabase">Proyectos!$A$1:$Z$15239</definedName>
  </definedNames>
  <calcPr/>
  <extLst>
    <ext uri="GoogleSheetsCustomDataVersion2">
      <go:sheetsCustomData xmlns:go="http://customooxmlschemas.google.com/" r:id="rId8" roundtripDataChecksum="qWGYrYTqFbwiICFXAuHC+cJlJZBpy2wYwIiDy8O9n5g="/>
    </ext>
  </extLst>
</workbook>
</file>

<file path=xl/sharedStrings.xml><?xml version="1.0" encoding="utf-8"?>
<sst xmlns="http://schemas.openxmlformats.org/spreadsheetml/2006/main" count="1842" uniqueCount="327">
  <si>
    <t>Presupuesto por proyecto — plantilla de recopilación</t>
  </si>
  <si>
    <t>Se rellena a mano con los datos que los heads tienen en sus ficheros internos.</t>
  </si>
  <si>
    <t>REGLA DE ORO</t>
  </si>
  <si>
    <t>Cliente Origen y Project deben coincidir EXACTAMENTE con los del sistema (actuals y billing). Por eso se eligen del desplegable, no se escriben a mano. Si un proyecto no está en la lista, primero añádelo a la hoja «Listas».</t>
  </si>
  <si>
    <t>CÓMO RELLENAR EL MARGEN</t>
  </si>
  <si>
    <t>Pon el ingreso presupuestado y, según lo que tengas, el coste presupuestado O el margen %. La plantilla calcula sola el margen € y %. No hace falta rellenar las dos.</t>
  </si>
  <si>
    <t>GUÍA DE COLUMNAS</t>
  </si>
  <si>
    <t>Columna</t>
  </si>
  <si>
    <t>Oblig.</t>
  </si>
  <si>
    <t>Qué poner</t>
  </si>
  <si>
    <t>Cliente Origen</t>
  </si>
  <si>
    <t>Sí</t>
  </si>
  <si>
    <t>Cliente, elegido del desplegable. Idéntico al sistema.</t>
  </si>
  <si>
    <t>Project</t>
  </si>
  <si>
    <t>Proyecto, elegido del desplegable. Idéntico al sistema.</t>
  </si>
  <si>
    <t>Año</t>
  </si>
  <si>
    <t>Año del presupuesto (p. ej. 2026).</t>
  </si>
  <si>
    <t>Tipo de contrato</t>
  </si>
  <si>
    <t>Reco.</t>
  </si>
  <si>
    <t>FEE, TYM, SLA, FIXED_PRICE, Always On…</t>
  </si>
  <si>
    <t>Ingreso presupuestado (€)</t>
  </si>
  <si>
    <t>Importe total de ingreso esperado del proyecto, en euros.</t>
  </si>
  <si>
    <t>Coste presupuestado (€)</t>
  </si>
  <si>
    <t>Si lo tienes</t>
  </si>
  <si>
    <t>Coste total esperado. Rellena este O el margen %.</t>
  </si>
  <si>
    <t>Margen presupuestado (%)</t>
  </si>
  <si>
    <t>Alternativa al coste: margen objetivo (p. ej. 35%).</t>
  </si>
  <si>
    <t>Margen € / % (calculado)</t>
  </si>
  <si>
    <t>Auto</t>
  </si>
  <si>
    <t>Lo calcula la plantilla. No tocar.</t>
  </si>
  <si>
    <t>Responsable (head)</t>
  </si>
  <si>
    <t>Quién responde por el proyecto.</t>
  </si>
  <si>
    <t>Fecha inicio / fin prevista</t>
  </si>
  <si>
    <t>Opcional</t>
  </si>
  <si>
    <t>Si las conoces; útil para versiones futuras.</t>
  </si>
  <si>
    <t>Estado</t>
  </si>
  <si>
    <t>Activo o Cerrado.</t>
  </si>
  <si>
    <t>Fecha actualización / Notas</t>
  </si>
  <si>
    <t>Trazabilidad y matices.</t>
  </si>
  <si>
    <t>Presupuesto por proyecto</t>
  </si>
  <si>
    <t>Ingreso presup. (€)</t>
  </si>
  <si>
    <t>Coste presup. (€)</t>
  </si>
  <si>
    <t>Margen presup. (%)</t>
  </si>
  <si>
    <t>Margen € (calc.)</t>
  </si>
  <si>
    <t>Margen % (calc.)</t>
  </si>
  <si>
    <t>Responsable</t>
  </si>
  <si>
    <t>Fecha inicio</t>
  </si>
  <si>
    <t>Fecha fin prev.</t>
  </si>
  <si>
    <t>Fecha actualización</t>
  </si>
  <si>
    <t xml:space="preserve">TO Launch </t>
  </si>
  <si>
    <t>Notas</t>
  </si>
  <si>
    <t>Adevinta Spain S.L.U.</t>
  </si>
  <si>
    <t>Fotocasa 2</t>
  </si>
  <si>
    <t>Always On</t>
  </si>
  <si>
    <t>Activo</t>
  </si>
  <si>
    <t>Fee Coches.net 2</t>
  </si>
  <si>
    <t>Cerrado</t>
  </si>
  <si>
    <t>Milanuncios</t>
  </si>
  <si>
    <t>Infojobs</t>
  </si>
  <si>
    <t>Auditoria CRM 2</t>
  </si>
  <si>
    <t>Rebates Adevinta</t>
  </si>
  <si>
    <t>Rebates</t>
  </si>
  <si>
    <t>Altavia Group</t>
  </si>
  <si>
    <t>Mulesoft Acceleration</t>
  </si>
  <si>
    <t>Altavia Group (FA)</t>
  </si>
  <si>
    <t>Appcelerate Digital Communications S.L.</t>
  </si>
  <si>
    <t>Rebates Appcelerate</t>
  </si>
  <si>
    <t>Grupo Estrella Galicia</t>
  </si>
  <si>
    <t>DAM Workfront HdR</t>
  </si>
  <si>
    <t>Fixed Price</t>
  </si>
  <si>
    <t>31/12/2026</t>
  </si>
  <si>
    <t xml:space="preserve">Sumamos el mantenimiento </t>
  </si>
  <si>
    <t>Fees Activos Dig. 2</t>
  </si>
  <si>
    <t>29/06/2026</t>
  </si>
  <si>
    <t>Fee Paid Media HdR 2</t>
  </si>
  <si>
    <t>Fee MarTech HdR</t>
  </si>
  <si>
    <t>Fee Desarrollo Move 2</t>
  </si>
  <si>
    <t>Fee CRM &amp; PM 2</t>
  </si>
  <si>
    <t>Shopify</t>
  </si>
  <si>
    <t>Fee Paid Media Move 2</t>
  </si>
  <si>
    <t>Campañas CRM Mega</t>
  </si>
  <si>
    <t>CRM Mega</t>
  </si>
  <si>
    <t>Fees Move TM 2</t>
  </si>
  <si>
    <t>Fee CRM Move</t>
  </si>
  <si>
    <t>Fees Move TM</t>
  </si>
  <si>
    <t>MOVE Estrella Gal (FA)</t>
  </si>
  <si>
    <t>Farming</t>
  </si>
  <si>
    <t>Diego</t>
  </si>
  <si>
    <t>INSTITUCION EDUCATIVA SEK S.L.</t>
  </si>
  <si>
    <t>Fees UCJC</t>
  </si>
  <si>
    <t xml:space="preserve">Jessi </t>
  </si>
  <si>
    <t>Fees SEK</t>
  </si>
  <si>
    <t>Web SEK Inter. Sch. 2</t>
  </si>
  <si>
    <t>ESIC Business &amp; Marketing School</t>
  </si>
  <si>
    <t>Web Adobe</t>
  </si>
  <si>
    <t>Fees ESIC</t>
  </si>
  <si>
    <t>Mant. Priv. ESIC 2</t>
  </si>
  <si>
    <t>Fusion Creatividad</t>
  </si>
  <si>
    <t>Fees Analítica &amp; Data</t>
  </si>
  <si>
    <t>Fee CRO 2</t>
  </si>
  <si>
    <t>Fee Next Generation 2</t>
  </si>
  <si>
    <t>Fees SEO</t>
  </si>
  <si>
    <t>Fee Paid Media</t>
  </si>
  <si>
    <t>Cluster</t>
  </si>
  <si>
    <t>Portfolio - Walmeric</t>
  </si>
  <si>
    <t>Walmeric D3A</t>
  </si>
  <si>
    <t>Walmeric</t>
  </si>
  <si>
    <t>Walmeric - Ops</t>
  </si>
  <si>
    <t>Walmeric Delio</t>
  </si>
  <si>
    <t>Walmeric BI</t>
  </si>
  <si>
    <t>Create</t>
  </si>
  <si>
    <t>Portfolio Codebay</t>
  </si>
  <si>
    <t>Codebay - Ops</t>
  </si>
  <si>
    <t>Codebay</t>
  </si>
  <si>
    <t>Barcelo Codebay</t>
  </si>
  <si>
    <t>Barcelo-Maintenance</t>
  </si>
  <si>
    <t>RH Hoteles</t>
  </si>
  <si>
    <t>Migración RH</t>
  </si>
  <si>
    <t>Garaje de Ideas</t>
  </si>
  <si>
    <t>Abanca Adobe Target</t>
  </si>
  <si>
    <t>Tendam Adobe Target</t>
  </si>
  <si>
    <t>Deloitte Codebay</t>
  </si>
  <si>
    <t>NorthGate - S&amp;M</t>
  </si>
  <si>
    <t>Allianz Iberia</t>
  </si>
  <si>
    <t>Allianz Portugal</t>
  </si>
  <si>
    <t>BANCO BILBAO VIZCAYA ARGENTARIA S.A. - Gut</t>
  </si>
  <si>
    <t>Fee SEO API Market 2</t>
  </si>
  <si>
    <t>Fee SEO Web CIB 2</t>
  </si>
  <si>
    <t>Banco Santander S.A. - Gut</t>
  </si>
  <si>
    <t>Implant Benchmark</t>
  </si>
  <si>
    <t>Santander España_CRO</t>
  </si>
  <si>
    <t>Web Diseño plantillas</t>
  </si>
  <si>
    <t>BeCasa</t>
  </si>
  <si>
    <t>Proyectos Adicionales</t>
  </si>
  <si>
    <t>Barcelo-Content</t>
  </si>
  <si>
    <t>Nueva Web</t>
  </si>
  <si>
    <t>Creatividad &amp; PM 2</t>
  </si>
  <si>
    <t>Fee Paid Media Data 2</t>
  </si>
  <si>
    <t>Desarrollo Mant Web 2</t>
  </si>
  <si>
    <t>Social Media 2</t>
  </si>
  <si>
    <t>Inv Social Media Tools</t>
  </si>
  <si>
    <t>BECASA ESSENTIAL</t>
  </si>
  <si>
    <t>Essential</t>
  </si>
  <si>
    <t>Essential 2</t>
  </si>
  <si>
    <t>BritishCouncil</t>
  </si>
  <si>
    <t>Fee SEO 2</t>
  </si>
  <si>
    <t>Ampliacion Servicios 2</t>
  </si>
  <si>
    <t>CAIXABANK S.A. - Gut</t>
  </si>
  <si>
    <t>Fee SEO Imaginbank 2</t>
  </si>
  <si>
    <t>SEO IA &amp; Chatbots 2</t>
  </si>
  <si>
    <t>Fees Servicios CAIXA 2</t>
  </si>
  <si>
    <t>Fees Servicios CAIXA</t>
  </si>
  <si>
    <t>COMPANIA ESPANOLA DE SEGUROS</t>
  </si>
  <si>
    <t>Fee SEO Cesce 2</t>
  </si>
  <si>
    <t>COVAP</t>
  </si>
  <si>
    <t>Fee SEO COVAP 2</t>
  </si>
  <si>
    <t>Consultoría CRM</t>
  </si>
  <si>
    <t>Fee Analítica y CRO</t>
  </si>
  <si>
    <t>Mapfre S.A</t>
  </si>
  <si>
    <t>Mapfre - SEO-GEO CONTENT</t>
  </si>
  <si>
    <t>Emails &amp; Rediseño plantillas</t>
  </si>
  <si>
    <t>Auditoria UX &amp; CRO</t>
  </si>
  <si>
    <t>Cuhmed</t>
  </si>
  <si>
    <t>Restyling nueva web</t>
  </si>
  <si>
    <t>Fusion Landing</t>
  </si>
  <si>
    <t>Fee Always On</t>
  </si>
  <si>
    <t>ENDESA ENERGIA SA</t>
  </si>
  <si>
    <t>Servicio CRO 2</t>
  </si>
  <si>
    <t>Fee SEO Endesa 2</t>
  </si>
  <si>
    <t>Gestión Medios Sociales</t>
  </si>
  <si>
    <t>Mapfre - Fusion</t>
  </si>
  <si>
    <t>Evo Bank - Gut</t>
  </si>
  <si>
    <t>Fee SEO Content EVO 2</t>
  </si>
  <si>
    <t>GSP</t>
  </si>
  <si>
    <t>Finetwork</t>
  </si>
  <si>
    <t>Captación Clientes 2</t>
  </si>
  <si>
    <t>FinWalm</t>
  </si>
  <si>
    <t>Afiliación CPA</t>
  </si>
  <si>
    <t>Branding.</t>
  </si>
  <si>
    <t>Barcelo-Extra support</t>
  </si>
  <si>
    <t>FUNDACION ADECCO</t>
  </si>
  <si>
    <t>ENDESA ENERGÍA S.A.U</t>
  </si>
  <si>
    <t>Endesa Portugal</t>
  </si>
  <si>
    <t>Godo Strategies</t>
  </si>
  <si>
    <t>Rebates Godo</t>
  </si>
  <si>
    <t>Greystar</t>
  </si>
  <si>
    <t>NeraLiv. GoToMarket 2</t>
  </si>
  <si>
    <t>NeraLiv. Development 2</t>
  </si>
  <si>
    <t>IBERDROLA CLIENTES, S.A.U.</t>
  </si>
  <si>
    <t>IB Leads GRH Esp</t>
  </si>
  <si>
    <t>Canvas Student</t>
  </si>
  <si>
    <t>Aegon Seguros</t>
  </si>
  <si>
    <t>AEG Tratamiento Leads</t>
  </si>
  <si>
    <t>INTEGRUM 2008 S.L.U.</t>
  </si>
  <si>
    <t>Iberia Cards</t>
  </si>
  <si>
    <t>MPF L2RM ES</t>
  </si>
  <si>
    <t>PELAYO MUTUA DE SEG Y REASEGUROS A PRIMA FIJA</t>
  </si>
  <si>
    <t>Pel Trat leads</t>
  </si>
  <si>
    <t>Allianz Seguros - Walmeric</t>
  </si>
  <si>
    <t>Allianz Walmeric</t>
  </si>
  <si>
    <t>NeraLiving GoToMarket</t>
  </si>
  <si>
    <t>PLANETA INNOVACIÓN S.A.</t>
  </si>
  <si>
    <t>Plan Licencia</t>
  </si>
  <si>
    <t>Vodafone España S.A.U.</t>
  </si>
  <si>
    <t>VDF LOWI Gest LM</t>
  </si>
  <si>
    <t>Adeslas</t>
  </si>
  <si>
    <t>SCxa Cons Trat Lead</t>
  </si>
  <si>
    <t>Grupo Sicor</t>
  </si>
  <si>
    <t>Gestion Leads SLA</t>
  </si>
  <si>
    <t>Generali Group</t>
  </si>
  <si>
    <t>Gen L2RM</t>
  </si>
  <si>
    <t>Generali Liberty</t>
  </si>
  <si>
    <t>END CallLead trck</t>
  </si>
  <si>
    <t>Caja de seg reunidos Comp. de seg y reaseg S.A.</t>
  </si>
  <si>
    <t>Caser</t>
  </si>
  <si>
    <t>CENTRO SUPERIOR ALTOS ESTUDIOS INTERN</t>
  </si>
  <si>
    <t>Cen IFP</t>
  </si>
  <si>
    <t>D-MOBILELAB SPAIN SA</t>
  </si>
  <si>
    <t>Dmob Consumos Tlf</t>
  </si>
  <si>
    <t>MAKING SCIENCE  - Walmeric</t>
  </si>
  <si>
    <t>Making Science</t>
  </si>
  <si>
    <t>Repsol Comercializadora</t>
  </si>
  <si>
    <t>Canal WPP</t>
  </si>
  <si>
    <t>Delio</t>
  </si>
  <si>
    <t>VERTI ASEGURADORA, CÍA DE SEGUROS Y REASEGUROS S.A.</t>
  </si>
  <si>
    <t>VER Esp Contactos</t>
  </si>
  <si>
    <t>Linea Directa Aseguradora</t>
  </si>
  <si>
    <t>Linea Directa L2R</t>
  </si>
  <si>
    <t>Rep L2RM Portugal</t>
  </si>
  <si>
    <t>Telefónica de España SAU</t>
  </si>
  <si>
    <t>Tlf Seg Rpool Leads</t>
  </si>
  <si>
    <t>MG AGNESI TRAINING, S.L.U</t>
  </si>
  <si>
    <t>Soluciones Training</t>
  </si>
  <si>
    <t>YOUR DIGITAL AGENCY S.L</t>
  </si>
  <si>
    <t>Yoda</t>
  </si>
  <si>
    <t>Account (TP)</t>
  </si>
  <si>
    <t>Greystar Canvas</t>
  </si>
  <si>
    <t>PM Creatividad</t>
  </si>
  <si>
    <t>Fee Paid Media + Data</t>
  </si>
  <si>
    <t>Garaje de Ideas (CAPACITY)</t>
  </si>
  <si>
    <t>Fee Social Media</t>
  </si>
  <si>
    <t>Setup Edificio</t>
  </si>
  <si>
    <t>Mantenimiento</t>
  </si>
  <si>
    <t>IBERDROLA CLIENTE (FA)</t>
  </si>
  <si>
    <t>Prosegur GUT</t>
  </si>
  <si>
    <t>Prosegur Walmeric</t>
  </si>
  <si>
    <t>Telemark Spain</t>
  </si>
  <si>
    <t>GSP Telemark</t>
  </si>
  <si>
    <t>Walmeric Wises</t>
  </si>
  <si>
    <t>UNIDAD EDITORIAL S.A.</t>
  </si>
  <si>
    <t>Rebates Unidad Editorial</t>
  </si>
  <si>
    <t>TIGO GUT</t>
  </si>
  <si>
    <t>GSP Tigo</t>
  </si>
  <si>
    <t>Tlf Leads 900 C2C</t>
  </si>
  <si>
    <t>Naturgy - GUT (NATUR1)</t>
  </si>
  <si>
    <t>Naturgy Delio</t>
  </si>
  <si>
    <t>GRUPO MUTUA MADRILEÑA</t>
  </si>
  <si>
    <t>Migración dashboards</t>
  </si>
  <si>
    <t>Fee Social Mutua 2</t>
  </si>
  <si>
    <t>IBERDROLA</t>
  </si>
  <si>
    <t>I-DE</t>
  </si>
  <si>
    <t>Fee Social Iberd. IT 2</t>
  </si>
  <si>
    <t>Fee Social Iberdrol IT</t>
  </si>
  <si>
    <t>Diseño Corporativo</t>
  </si>
  <si>
    <t>INFORMA D&amp;B SAU - SME</t>
  </si>
  <si>
    <t>Fee SEO Empresite 2</t>
  </si>
  <si>
    <t>Fee SEO Informa 2</t>
  </si>
  <si>
    <t>LIGA NACIONAL DE FUTBOL PROFESIONAL</t>
  </si>
  <si>
    <t>Fee Estrat. Digital 2</t>
  </si>
  <si>
    <t>Fee Paid Med. MKT 2</t>
  </si>
  <si>
    <t>Fee SEO LaLiga BS 2</t>
  </si>
  <si>
    <t>Fee Paid Media 2</t>
  </si>
  <si>
    <t>Paid Media Business School</t>
  </si>
  <si>
    <t>Fusión Business School</t>
  </si>
  <si>
    <t>Mcdonalds Habitant</t>
  </si>
  <si>
    <t>Perfiles de Negocio 2</t>
  </si>
  <si>
    <t>CONSENT TOOL (Make) 2</t>
  </si>
  <si>
    <t>Fee Des. &amp; Prod 2</t>
  </si>
  <si>
    <t>Proy. Adicionales 2</t>
  </si>
  <si>
    <t>MyMenu</t>
  </si>
  <si>
    <t>Braze</t>
  </si>
  <si>
    <t>Mant. CMS Prismic 2</t>
  </si>
  <si>
    <t>McD - Offers Grid IA</t>
  </si>
  <si>
    <t>Mcdonalds Habitant (CAPACITY)</t>
  </si>
  <si>
    <t>Monopoly</t>
  </si>
  <si>
    <t>NATURHOUSE HEALTH SA</t>
  </si>
  <si>
    <t>Fee SEO IT 2</t>
  </si>
  <si>
    <t>Office - Gut Network Madrid</t>
  </si>
  <si>
    <t>GUT MAD - SEO</t>
  </si>
  <si>
    <t>ORANGE ESPAÑA VIRTUAL S.L.U.</t>
  </si>
  <si>
    <t>Orange Adicionales</t>
  </si>
  <si>
    <t>Portfolio Gut Network Madrid</t>
  </si>
  <si>
    <t>Portfolio Gut Network Madrid (FA)</t>
  </si>
  <si>
    <t>Portfolio Habitant</t>
  </si>
  <si>
    <t>Innovation &amp; AI</t>
  </si>
  <si>
    <t>Fusion Initiatives</t>
  </si>
  <si>
    <t>Marketing Platforms</t>
  </si>
  <si>
    <t>New Business</t>
  </si>
  <si>
    <t>Brand &amp; Social</t>
  </si>
  <si>
    <t>Marketing Strategy</t>
  </si>
  <si>
    <t>Data Analytics Martech</t>
  </si>
  <si>
    <t>CRM &amp; Automation</t>
  </si>
  <si>
    <t>Marketing UX &amp; UI</t>
  </si>
  <si>
    <t>Fusion Comunicacion</t>
  </si>
  <si>
    <t>SEO</t>
  </si>
  <si>
    <t>Paid Media</t>
  </si>
  <si>
    <t>Operations</t>
  </si>
  <si>
    <t>Omni.Pro</t>
  </si>
  <si>
    <t>SABIS Banco Sabadell - GUT</t>
  </si>
  <si>
    <t>Consec Hipotecas 2</t>
  </si>
  <si>
    <t>Incent Comerciales 2</t>
  </si>
  <si>
    <t>Consultoría Estratégica</t>
  </si>
  <si>
    <t>Fusion Adaptaciones</t>
  </si>
  <si>
    <t>Fusion Imágenes</t>
  </si>
  <si>
    <t>Fusion SEO</t>
  </si>
  <si>
    <t>SOCIEDAD INVERSORA EN RESIDENCIAS</t>
  </si>
  <si>
    <t>Mant Web RESA 2</t>
  </si>
  <si>
    <t>Fee SEO RESA 2</t>
  </si>
  <si>
    <t>Fee SEM-Analit. RESA 2</t>
  </si>
  <si>
    <t>Sun Media</t>
  </si>
  <si>
    <t>Rebates VLN</t>
  </si>
  <si>
    <t>Tradedoubler</t>
  </si>
  <si>
    <t>Rebates Tradedoubler</t>
  </si>
  <si>
    <t>UAX - Universidad Alfonso X El Sabio</t>
  </si>
  <si>
    <t>Formación Profesional</t>
  </si>
  <si>
    <t>Proyecto de Consultoría</t>
  </si>
  <si>
    <t>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</si>
</sst>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m/dd/yyyy"/>
    <numFmt numFmtId="166" formatCode="dd/mm/yyyy"/>
  </numFmts>
  <fonts count="9">
    <font>
      <sz val="11.0"/>
      <color theme="1"/>
      <name val="Calibri"/>
      <scheme val="minor"/>
    </font>
    <font>
      <b/>
      <sz val="15.0"/>
      <color rgb="FF1E2761"/>
      <name val="Arial"/>
    </font>
    <font>
      <i/>
      <sz val="10.0"/>
      <color rgb="FF555E86"/>
      <name val="Arial"/>
    </font>
    <font>
      <sz val="10.0"/>
      <color rgb="FF222A4A"/>
      <name val="Arial"/>
    </font>
    <font>
      <b/>
      <sz val="11.0"/>
      <color rgb="FF1E2761"/>
      <name val="Arial"/>
    </font>
    <font>
      <b/>
      <sz val="10.0"/>
      <color rgb="FFFFFFFF"/>
      <name val="Arial"/>
    </font>
    <font>
      <b/>
      <sz val="10.0"/>
      <color rgb="FF222A4A"/>
      <name val="Arial"/>
    </font>
    <font>
      <color theme="1"/>
      <name val="Calibri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1E2761"/>
        <bgColor rgb="FF1E2761"/>
      </patternFill>
    </fill>
    <fill>
      <patternFill patternType="solid">
        <fgColor rgb="FFF4F6FB"/>
        <bgColor rgb="FFF4F6FB"/>
      </patternFill>
    </fill>
    <fill>
      <patternFill patternType="solid">
        <fgColor rgb="FFFFFDF0"/>
        <bgColor rgb="FFFFFDF0"/>
      </patternFill>
    </fill>
    <fill>
      <patternFill patternType="solid">
        <fgColor rgb="FFEDEAFB"/>
        <bgColor rgb="FFEDEAFB"/>
      </patternFill>
    </fill>
  </fills>
  <borders count="2">
    <border/>
    <border>
      <left style="thin">
        <color rgb="FFC8D0E8"/>
      </left>
      <right style="thin">
        <color rgb="FFC8D0E8"/>
      </right>
      <top style="thin">
        <color rgb="FFC8D0E8"/>
      </top>
      <bottom style="thin">
        <color rgb="FFC8D0E8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2" fontId="5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readingOrder="0" shrinkToFit="0" vertical="top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3" xfId="0" applyAlignment="1" applyBorder="1" applyFont="1" applyNumberFormat="1">
      <alignment readingOrder="0" shrinkToFit="0" vertical="top" wrapText="1"/>
    </xf>
    <xf borderId="1" fillId="3" fontId="3" numFmtId="3" xfId="0" applyAlignment="1" applyBorder="1" applyFont="1" applyNumberFormat="1">
      <alignment shrinkToFit="0" vertical="top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3" fontId="3" numFmtId="164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ont="1">
      <alignment shrinkToFit="0" vertical="top" wrapText="1"/>
    </xf>
    <xf borderId="1" fillId="3" fontId="3" numFmtId="165" xfId="0" applyAlignment="1" applyBorder="1" applyFont="1" applyNumberFormat="1">
      <alignment readingOrder="0" shrinkToFit="0" vertical="top" wrapText="1"/>
    </xf>
    <xf borderId="1" fillId="3" fontId="3" numFmtId="166" xfId="0" applyAlignment="1" applyBorder="1" applyFont="1" applyNumberFormat="1">
      <alignment readingOrder="0" shrinkToFit="0" vertical="top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ill="1" applyFont="1">
      <alignment readingOrder="0" shrinkToFit="0" vertical="top" wrapText="1"/>
    </xf>
    <xf borderId="1" fillId="4" fontId="3" numFmtId="0" xfId="0" applyAlignment="1" applyBorder="1" applyFont="1">
      <alignment shrinkToFit="0" vertical="top" wrapText="1"/>
    </xf>
    <xf borderId="1" fillId="4" fontId="3" numFmtId="3" xfId="0" applyAlignment="1" applyBorder="1" applyFont="1" applyNumberFormat="1">
      <alignment shrinkToFit="0" vertical="top" wrapText="1"/>
    </xf>
    <xf borderId="1" fillId="4" fontId="3" numFmtId="164" xfId="0" applyAlignment="1" applyBorder="1" applyFont="1" applyNumberFormat="1">
      <alignment horizontal="center" shrinkToFit="0" vertical="center" wrapText="1"/>
    </xf>
    <xf borderId="1" fillId="5" fontId="3" numFmtId="164" xfId="0" applyAlignment="1" applyBorder="1" applyFill="1" applyFont="1" applyNumberFormat="1">
      <alignment horizontal="center" shrinkToFit="0" vertical="center" wrapText="1"/>
    </xf>
    <xf borderId="1" fillId="4" fontId="3" numFmtId="3" xfId="0" applyAlignment="1" applyBorder="1" applyFont="1" applyNumberFormat="1">
      <alignment readingOrder="0" shrinkToFit="0" vertical="top" wrapText="1"/>
    </xf>
    <xf borderId="1" fillId="4" fontId="3" numFmtId="165" xfId="0" applyAlignment="1" applyBorder="1" applyFont="1" applyNumberFormat="1">
      <alignment readingOrder="0" shrinkToFit="0" vertical="top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3" fontId="3" numFmtId="166" xfId="0" applyAlignment="1" applyBorder="1" applyFont="1" applyNumberFormat="1">
      <alignment horizontal="right" readingOrder="0" shrinkToFit="0" vertical="top" wrapText="1"/>
    </xf>
    <xf borderId="1" fillId="5" fontId="3" numFmtId="3" xfId="0" applyAlignment="1" applyBorder="1" applyFont="1" applyNumberFormat="1">
      <alignment shrinkToFit="0" vertical="top" wrapText="1"/>
    </xf>
    <xf borderId="1" fillId="4" fontId="3" numFmtId="166" xfId="0" applyAlignment="1" applyBorder="1" applyFont="1" applyNumberFormat="1">
      <alignment shrinkToFit="0" vertical="top" wrapText="1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omni.pr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2.0"/>
    <col customWidth="1" min="4" max="4" width="78.0"/>
    <col customWidth="1" min="5" max="26" width="8.71"/>
  </cols>
  <sheetData>
    <row r="2">
      <c r="B2" s="1" t="s">
        <v>0</v>
      </c>
    </row>
    <row r="3">
      <c r="B3" s="2" t="s">
        <v>1</v>
      </c>
    </row>
    <row r="5">
      <c r="B5" s="3"/>
      <c r="D5" s="4"/>
    </row>
    <row r="6">
      <c r="B6" s="5" t="s">
        <v>2</v>
      </c>
      <c r="D6" s="4" t="s">
        <v>3</v>
      </c>
    </row>
    <row r="7">
      <c r="B7" s="5" t="s">
        <v>4</v>
      </c>
      <c r="D7" s="4" t="s">
        <v>5</v>
      </c>
    </row>
    <row r="8">
      <c r="B8" s="3"/>
      <c r="D8" s="4"/>
    </row>
    <row r="9">
      <c r="B9" s="5" t="s">
        <v>6</v>
      </c>
    </row>
    <row r="10">
      <c r="B10" s="6" t="s">
        <v>7</v>
      </c>
      <c r="C10" s="6" t="s">
        <v>8</v>
      </c>
      <c r="D10" s="6" t="s">
        <v>9</v>
      </c>
    </row>
    <row r="11">
      <c r="B11" s="7" t="s">
        <v>10</v>
      </c>
      <c r="C11" s="8" t="s">
        <v>11</v>
      </c>
      <c r="D11" s="9" t="s">
        <v>12</v>
      </c>
    </row>
    <row r="12">
      <c r="B12" s="7" t="s">
        <v>13</v>
      </c>
      <c r="C12" s="8" t="s">
        <v>11</v>
      </c>
      <c r="D12" s="9" t="s">
        <v>14</v>
      </c>
    </row>
    <row r="13">
      <c r="B13" s="7" t="s">
        <v>15</v>
      </c>
      <c r="C13" s="8" t="s">
        <v>11</v>
      </c>
      <c r="D13" s="9" t="s">
        <v>16</v>
      </c>
    </row>
    <row r="14">
      <c r="B14" s="7" t="s">
        <v>17</v>
      </c>
      <c r="C14" s="8" t="s">
        <v>18</v>
      </c>
      <c r="D14" s="9" t="s">
        <v>19</v>
      </c>
    </row>
    <row r="15">
      <c r="B15" s="7" t="s">
        <v>20</v>
      </c>
      <c r="C15" s="8" t="s">
        <v>11</v>
      </c>
      <c r="D15" s="9" t="s">
        <v>21</v>
      </c>
    </row>
    <row r="16">
      <c r="B16" s="7" t="s">
        <v>22</v>
      </c>
      <c r="C16" s="8" t="s">
        <v>23</v>
      </c>
      <c r="D16" s="9" t="s">
        <v>24</v>
      </c>
    </row>
    <row r="17">
      <c r="B17" s="7" t="s">
        <v>25</v>
      </c>
      <c r="C17" s="8" t="s">
        <v>23</v>
      </c>
      <c r="D17" s="9" t="s">
        <v>26</v>
      </c>
    </row>
    <row r="18">
      <c r="B18" s="7" t="s">
        <v>27</v>
      </c>
      <c r="C18" s="8" t="s">
        <v>28</v>
      </c>
      <c r="D18" s="9" t="s">
        <v>29</v>
      </c>
    </row>
    <row r="19">
      <c r="B19" s="7" t="s">
        <v>30</v>
      </c>
      <c r="C19" s="8" t="s">
        <v>18</v>
      </c>
      <c r="D19" s="9" t="s">
        <v>31</v>
      </c>
    </row>
    <row r="20">
      <c r="B20" s="7" t="s">
        <v>32</v>
      </c>
      <c r="C20" s="8" t="s">
        <v>33</v>
      </c>
      <c r="D20" s="9" t="s">
        <v>34</v>
      </c>
    </row>
    <row r="21" ht="15.75" customHeight="1">
      <c r="B21" s="7" t="s">
        <v>35</v>
      </c>
      <c r="C21" s="8" t="s">
        <v>18</v>
      </c>
      <c r="D21" s="9" t="s">
        <v>36</v>
      </c>
    </row>
    <row r="22" ht="15.75" customHeight="1">
      <c r="B22" s="7" t="s">
        <v>37</v>
      </c>
      <c r="C22" s="8" t="s">
        <v>33</v>
      </c>
      <c r="D22" s="9" t="s">
        <v>38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8.14"/>
    <col customWidth="1" min="2" max="2" width="24.0"/>
    <col customWidth="1" min="3" max="3" width="8.0"/>
    <col customWidth="1" min="4" max="6" width="16.0"/>
    <col customWidth="1" min="7" max="7" width="15.0"/>
    <col customWidth="1" hidden="1" min="8" max="8" width="15.0"/>
    <col customWidth="1" min="9" max="9" width="14.0"/>
    <col customWidth="1" min="10" max="10" width="16.0"/>
    <col customWidth="1" min="11" max="11" width="13.0"/>
    <col customWidth="1" min="12" max="12" width="14.0"/>
    <col customWidth="1" min="13" max="13" width="12.0"/>
    <col customWidth="1" min="14" max="14" width="15.0"/>
    <col customWidth="1" min="15" max="15" width="21.14"/>
    <col customWidth="1" min="16" max="16" width="30.0"/>
    <col customWidth="1" min="17" max="27" width="8.71"/>
  </cols>
  <sheetData>
    <row r="1">
      <c r="A1" s="1" t="s">
        <v>39</v>
      </c>
    </row>
    <row r="2">
      <c r="A2" s="2"/>
    </row>
    <row r="4">
      <c r="A4" s="10" t="s">
        <v>10</v>
      </c>
      <c r="B4" s="10" t="s">
        <v>13</v>
      </c>
      <c r="C4" s="10" t="s">
        <v>15</v>
      </c>
      <c r="D4" s="10" t="s">
        <v>17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10" t="s">
        <v>45</v>
      </c>
      <c r="K4" s="10" t="s">
        <v>46</v>
      </c>
      <c r="L4" s="10" t="s">
        <v>47</v>
      </c>
      <c r="M4" s="10" t="s">
        <v>35</v>
      </c>
      <c r="N4" s="10" t="s">
        <v>48</v>
      </c>
      <c r="O4" s="11" t="s">
        <v>49</v>
      </c>
      <c r="P4" s="10" t="s">
        <v>50</v>
      </c>
    </row>
    <row r="5">
      <c r="A5" s="12" t="s">
        <v>51</v>
      </c>
      <c r="B5" s="12" t="s">
        <v>52</v>
      </c>
      <c r="C5" s="13">
        <v>2026.0</v>
      </c>
      <c r="D5" s="12" t="s">
        <v>53</v>
      </c>
      <c r="E5" s="14">
        <v>59999.28</v>
      </c>
      <c r="F5" s="15">
        <f>E5*(1-I5)</f>
        <v>35999.568</v>
      </c>
      <c r="G5" s="16"/>
      <c r="H5" s="15">
        <f t="shared" ref="H5:H44" si="1">IF(F5&lt;&gt;"",E5-F5,IF(G5&lt;&gt;"",E5*G5,""))</f>
        <v>23999.712</v>
      </c>
      <c r="I5" s="17">
        <v>0.4</v>
      </c>
      <c r="J5" s="18"/>
      <c r="K5" s="19">
        <v>46023.0</v>
      </c>
      <c r="L5" s="12"/>
      <c r="M5" s="13" t="s">
        <v>54</v>
      </c>
      <c r="N5" s="20">
        <v>46199.0</v>
      </c>
      <c r="O5" s="18" t="b">
        <v>0</v>
      </c>
      <c r="P5" s="18"/>
    </row>
    <row r="6">
      <c r="A6" s="12" t="s">
        <v>51</v>
      </c>
      <c r="B6" s="12" t="s">
        <v>55</v>
      </c>
      <c r="C6" s="13">
        <v>2026.0</v>
      </c>
      <c r="D6" s="12" t="s">
        <v>53</v>
      </c>
      <c r="E6" s="15"/>
      <c r="F6" s="15"/>
      <c r="G6" s="16"/>
      <c r="H6" s="15" t="str">
        <f t="shared" si="1"/>
        <v/>
      </c>
      <c r="I6" s="17"/>
      <c r="J6" s="18"/>
      <c r="K6" s="18"/>
      <c r="L6" s="18"/>
      <c r="M6" s="21" t="s">
        <v>56</v>
      </c>
      <c r="N6" s="20">
        <v>46199.0</v>
      </c>
      <c r="O6" s="18" t="b">
        <v>0</v>
      </c>
      <c r="P6" s="18"/>
    </row>
    <row r="7">
      <c r="A7" s="12" t="s">
        <v>51</v>
      </c>
      <c r="B7" s="12" t="s">
        <v>57</v>
      </c>
      <c r="C7" s="13">
        <v>2026.0</v>
      </c>
      <c r="D7" s="12" t="s">
        <v>53</v>
      </c>
      <c r="E7" s="14"/>
      <c r="F7" s="15"/>
      <c r="G7" s="16"/>
      <c r="H7" s="15" t="str">
        <f t="shared" si="1"/>
        <v/>
      </c>
      <c r="I7" s="17" t="str">
        <f>IF(AND(E7&lt;&gt;"",H7&lt;&gt;""),H7/E7,"")</f>
        <v/>
      </c>
      <c r="J7" s="18"/>
      <c r="K7" s="19"/>
      <c r="L7" s="12"/>
      <c r="M7" s="13" t="s">
        <v>56</v>
      </c>
      <c r="N7" s="20">
        <v>46199.0</v>
      </c>
      <c r="O7" s="18" t="b">
        <v>0</v>
      </c>
      <c r="P7" s="18"/>
    </row>
    <row r="8">
      <c r="A8" s="12" t="s">
        <v>51</v>
      </c>
      <c r="B8" s="12" t="s">
        <v>58</v>
      </c>
      <c r="C8" s="13">
        <v>2026.0</v>
      </c>
      <c r="D8" s="12" t="s">
        <v>53</v>
      </c>
      <c r="E8" s="14">
        <v>20121.0</v>
      </c>
      <c r="F8" s="15">
        <f>E8*(1-I8)</f>
        <v>12072.6</v>
      </c>
      <c r="G8" s="16"/>
      <c r="H8" s="15">
        <f t="shared" si="1"/>
        <v>8048.4</v>
      </c>
      <c r="I8" s="17">
        <v>0.4</v>
      </c>
      <c r="J8" s="18"/>
      <c r="K8" s="18"/>
      <c r="L8" s="18"/>
      <c r="M8" s="13" t="s">
        <v>56</v>
      </c>
      <c r="N8" s="20">
        <v>46199.0</v>
      </c>
      <c r="O8" s="18" t="b">
        <v>0</v>
      </c>
      <c r="P8" s="18"/>
    </row>
    <row r="9">
      <c r="A9" s="12" t="s">
        <v>51</v>
      </c>
      <c r="B9" s="12" t="s">
        <v>59</v>
      </c>
      <c r="C9" s="13">
        <v>2026.0</v>
      </c>
      <c r="D9" s="12"/>
      <c r="E9" s="14"/>
      <c r="F9" s="15"/>
      <c r="G9" s="16"/>
      <c r="H9" s="15" t="str">
        <f t="shared" si="1"/>
        <v/>
      </c>
      <c r="I9" s="17" t="str">
        <f t="shared" ref="I9:I44" si="2">IF(AND(E9&lt;&gt;"",H9&lt;&gt;""),H9/E9,"")</f>
        <v/>
      </c>
      <c r="J9" s="18"/>
      <c r="K9" s="19"/>
      <c r="L9" s="12"/>
      <c r="M9" s="13" t="s">
        <v>56</v>
      </c>
      <c r="N9" s="20">
        <v>46199.0</v>
      </c>
      <c r="O9" s="18" t="b">
        <v>0</v>
      </c>
      <c r="P9" s="18"/>
    </row>
    <row r="10">
      <c r="A10" s="12" t="s">
        <v>51</v>
      </c>
      <c r="B10" s="12" t="s">
        <v>60</v>
      </c>
      <c r="C10" s="13">
        <v>2026.0</v>
      </c>
      <c r="D10" s="12" t="s">
        <v>61</v>
      </c>
      <c r="E10" s="15"/>
      <c r="F10" s="15"/>
      <c r="G10" s="16"/>
      <c r="H10" s="15" t="str">
        <f t="shared" si="1"/>
        <v/>
      </c>
      <c r="I10" s="17" t="str">
        <f t="shared" si="2"/>
        <v/>
      </c>
      <c r="J10" s="18"/>
      <c r="K10" s="18"/>
      <c r="L10" s="18"/>
      <c r="M10" s="13" t="s">
        <v>54</v>
      </c>
      <c r="N10" s="20">
        <v>46199.0</v>
      </c>
      <c r="O10" s="18" t="b">
        <v>0</v>
      </c>
      <c r="P10" s="18"/>
    </row>
    <row r="11">
      <c r="A11" s="22" t="s">
        <v>62</v>
      </c>
      <c r="B11" s="22" t="s">
        <v>63</v>
      </c>
      <c r="C11" s="13">
        <v>2026.0</v>
      </c>
      <c r="D11" s="23"/>
      <c r="E11" s="24"/>
      <c r="F11" s="24"/>
      <c r="G11" s="25"/>
      <c r="H11" s="15" t="str">
        <f t="shared" si="1"/>
        <v/>
      </c>
      <c r="I11" s="26" t="str">
        <f t="shared" si="2"/>
        <v/>
      </c>
      <c r="J11" s="23"/>
      <c r="K11" s="23"/>
      <c r="L11" s="23"/>
      <c r="M11" s="13" t="s">
        <v>56</v>
      </c>
      <c r="N11" s="20">
        <v>46199.0</v>
      </c>
      <c r="O11" s="23" t="b">
        <v>0</v>
      </c>
      <c r="P11" s="23"/>
    </row>
    <row r="12">
      <c r="A12" s="22" t="s">
        <v>62</v>
      </c>
      <c r="B12" s="22" t="s">
        <v>64</v>
      </c>
      <c r="C12" s="13">
        <v>2026.0</v>
      </c>
      <c r="D12" s="23"/>
      <c r="E12" s="24"/>
      <c r="F12" s="24"/>
      <c r="G12" s="25"/>
      <c r="H12" s="15" t="str">
        <f t="shared" si="1"/>
        <v/>
      </c>
      <c r="I12" s="26" t="str">
        <f t="shared" si="2"/>
        <v/>
      </c>
      <c r="J12" s="23"/>
      <c r="K12" s="23"/>
      <c r="L12" s="23"/>
      <c r="M12" s="13" t="s">
        <v>56</v>
      </c>
      <c r="N12" s="20">
        <v>46199.0</v>
      </c>
      <c r="O12" s="23" t="b">
        <v>0</v>
      </c>
      <c r="P12" s="23"/>
    </row>
    <row r="13">
      <c r="A13" s="22" t="s">
        <v>65</v>
      </c>
      <c r="B13" s="22" t="s">
        <v>66</v>
      </c>
      <c r="C13" s="13">
        <v>2026.0</v>
      </c>
      <c r="D13" s="22" t="s">
        <v>61</v>
      </c>
      <c r="E13" s="24"/>
      <c r="F13" s="24"/>
      <c r="G13" s="25"/>
      <c r="H13" s="15" t="str">
        <f t="shared" si="1"/>
        <v/>
      </c>
      <c r="I13" s="26" t="str">
        <f t="shared" si="2"/>
        <v/>
      </c>
      <c r="J13" s="23"/>
      <c r="K13" s="23"/>
      <c r="L13" s="23"/>
      <c r="M13" s="13" t="s">
        <v>54</v>
      </c>
      <c r="N13" s="20">
        <v>46199.0</v>
      </c>
      <c r="O13" s="23" t="b">
        <v>0</v>
      </c>
      <c r="P13" s="23"/>
    </row>
    <row r="14">
      <c r="A14" s="22" t="s">
        <v>67</v>
      </c>
      <c r="B14" s="22" t="s">
        <v>68</v>
      </c>
      <c r="C14" s="13">
        <v>2026.0</v>
      </c>
      <c r="D14" s="22" t="s">
        <v>69</v>
      </c>
      <c r="E14" s="27">
        <f>185500+70807</f>
        <v>256307</v>
      </c>
      <c r="F14" s="24"/>
      <c r="G14" s="25"/>
      <c r="H14" s="15" t="str">
        <f t="shared" si="1"/>
        <v/>
      </c>
      <c r="I14" s="26" t="str">
        <f t="shared" si="2"/>
        <v/>
      </c>
      <c r="J14" s="23"/>
      <c r="K14" s="28">
        <v>45668.0</v>
      </c>
      <c r="L14" s="22" t="s">
        <v>70</v>
      </c>
      <c r="M14" s="29" t="s">
        <v>54</v>
      </c>
      <c r="N14" s="20">
        <v>46199.0</v>
      </c>
      <c r="O14" s="22" t="b">
        <v>1</v>
      </c>
      <c r="P14" s="22" t="s">
        <v>71</v>
      </c>
    </row>
    <row r="15">
      <c r="A15" s="22" t="s">
        <v>67</v>
      </c>
      <c r="B15" s="22" t="s">
        <v>72</v>
      </c>
      <c r="C15" s="13">
        <v>2026.0</v>
      </c>
      <c r="D15" s="23"/>
      <c r="E15" s="24"/>
      <c r="F15" s="24"/>
      <c r="G15" s="25"/>
      <c r="H15" s="15" t="str">
        <f t="shared" si="1"/>
        <v/>
      </c>
      <c r="I15" s="26" t="str">
        <f t="shared" si="2"/>
        <v/>
      </c>
      <c r="J15" s="23"/>
      <c r="K15" s="23"/>
      <c r="L15" s="23"/>
      <c r="M15" s="30"/>
      <c r="N15" s="31" t="s">
        <v>73</v>
      </c>
      <c r="O15" s="22" t="b">
        <v>1</v>
      </c>
      <c r="P15" s="23"/>
    </row>
    <row r="16">
      <c r="A16" s="22" t="s">
        <v>67</v>
      </c>
      <c r="B16" s="22" t="s">
        <v>74</v>
      </c>
      <c r="C16" s="13">
        <v>2026.0</v>
      </c>
      <c r="D16" s="23"/>
      <c r="E16" s="24"/>
      <c r="F16" s="24"/>
      <c r="G16" s="25"/>
      <c r="H16" s="15" t="str">
        <f t="shared" si="1"/>
        <v/>
      </c>
      <c r="I16" s="26" t="str">
        <f t="shared" si="2"/>
        <v/>
      </c>
      <c r="J16" s="23"/>
      <c r="K16" s="23"/>
      <c r="L16" s="23"/>
      <c r="M16" s="30"/>
      <c r="N16" s="31" t="s">
        <v>73</v>
      </c>
      <c r="O16" s="22" t="b">
        <v>0</v>
      </c>
      <c r="P16" s="23"/>
    </row>
    <row r="17">
      <c r="A17" s="22" t="s">
        <v>67</v>
      </c>
      <c r="B17" s="22" t="s">
        <v>75</v>
      </c>
      <c r="C17" s="13">
        <v>2026.0</v>
      </c>
      <c r="D17" s="23"/>
      <c r="E17" s="24"/>
      <c r="F17" s="24"/>
      <c r="G17" s="25"/>
      <c r="H17" s="15" t="str">
        <f t="shared" si="1"/>
        <v/>
      </c>
      <c r="I17" s="26" t="str">
        <f t="shared" si="2"/>
        <v/>
      </c>
      <c r="J17" s="23"/>
      <c r="K17" s="23"/>
      <c r="L17" s="23"/>
      <c r="M17" s="30"/>
      <c r="N17" s="31" t="s">
        <v>73</v>
      </c>
      <c r="O17" s="22" t="b">
        <v>1</v>
      </c>
      <c r="P17" s="23"/>
    </row>
    <row r="18">
      <c r="A18" s="22" t="s">
        <v>67</v>
      </c>
      <c r="B18" s="22" t="s">
        <v>76</v>
      </c>
      <c r="C18" s="13">
        <v>2026.0</v>
      </c>
      <c r="D18" s="23"/>
      <c r="E18" s="24"/>
      <c r="F18" s="24"/>
      <c r="G18" s="25"/>
      <c r="H18" s="15" t="str">
        <f t="shared" si="1"/>
        <v/>
      </c>
      <c r="I18" s="26" t="str">
        <f t="shared" si="2"/>
        <v/>
      </c>
      <c r="J18" s="23"/>
      <c r="K18" s="23"/>
      <c r="L18" s="23"/>
      <c r="M18" s="30"/>
      <c r="N18" s="31" t="s">
        <v>73</v>
      </c>
      <c r="O18" s="22" t="b">
        <v>1</v>
      </c>
      <c r="P18" s="23"/>
    </row>
    <row r="19" ht="15.75" customHeight="1">
      <c r="A19" s="22" t="s">
        <v>67</v>
      </c>
      <c r="B19" s="22" t="s">
        <v>77</v>
      </c>
      <c r="C19" s="13">
        <v>2026.0</v>
      </c>
      <c r="D19" s="23"/>
      <c r="E19" s="24"/>
      <c r="F19" s="24"/>
      <c r="G19" s="25"/>
      <c r="H19" s="15" t="str">
        <f t="shared" si="1"/>
        <v/>
      </c>
      <c r="I19" s="26" t="str">
        <f t="shared" si="2"/>
        <v/>
      </c>
      <c r="J19" s="23"/>
      <c r="K19" s="23"/>
      <c r="L19" s="23"/>
      <c r="M19" s="30"/>
      <c r="N19" s="31" t="s">
        <v>73</v>
      </c>
      <c r="O19" s="22" t="b">
        <v>1</v>
      </c>
      <c r="P19" s="23"/>
    </row>
    <row r="20" ht="15.75" customHeight="1">
      <c r="A20" s="22" t="s">
        <v>67</v>
      </c>
      <c r="B20" s="22" t="s">
        <v>78</v>
      </c>
      <c r="C20" s="13">
        <v>2026.0</v>
      </c>
      <c r="D20" s="23"/>
      <c r="E20" s="24"/>
      <c r="F20" s="24"/>
      <c r="G20" s="25"/>
      <c r="H20" s="15" t="str">
        <f t="shared" si="1"/>
        <v/>
      </c>
      <c r="I20" s="26" t="str">
        <f t="shared" si="2"/>
        <v/>
      </c>
      <c r="J20" s="23"/>
      <c r="K20" s="23"/>
      <c r="L20" s="23"/>
      <c r="M20" s="30"/>
      <c r="N20" s="31" t="s">
        <v>73</v>
      </c>
      <c r="O20" s="22" t="b">
        <v>1</v>
      </c>
      <c r="P20" s="23"/>
    </row>
    <row r="21" ht="15.75" customHeight="1">
      <c r="A21" s="22" t="s">
        <v>67</v>
      </c>
      <c r="B21" s="22" t="s">
        <v>79</v>
      </c>
      <c r="C21" s="13">
        <v>2026.0</v>
      </c>
      <c r="D21" s="23"/>
      <c r="E21" s="24"/>
      <c r="F21" s="24"/>
      <c r="G21" s="25"/>
      <c r="H21" s="15" t="str">
        <f t="shared" si="1"/>
        <v/>
      </c>
      <c r="I21" s="26" t="str">
        <f t="shared" si="2"/>
        <v/>
      </c>
      <c r="J21" s="23"/>
      <c r="K21" s="23"/>
      <c r="L21" s="23"/>
      <c r="M21" s="30"/>
      <c r="N21" s="31" t="s">
        <v>73</v>
      </c>
      <c r="O21" s="22" t="b">
        <v>1</v>
      </c>
      <c r="P21" s="23"/>
    </row>
    <row r="22" ht="15.75" customHeight="1">
      <c r="A22" s="22" t="s">
        <v>67</v>
      </c>
      <c r="B22" s="22" t="s">
        <v>80</v>
      </c>
      <c r="C22" s="13">
        <v>2026.0</v>
      </c>
      <c r="D22" s="23"/>
      <c r="E22" s="24"/>
      <c r="F22" s="24"/>
      <c r="G22" s="25"/>
      <c r="H22" s="32" t="str">
        <f t="shared" si="1"/>
        <v/>
      </c>
      <c r="I22" s="26" t="str">
        <f t="shared" si="2"/>
        <v/>
      </c>
      <c r="J22" s="23"/>
      <c r="K22" s="23"/>
      <c r="L22" s="23"/>
      <c r="M22" s="30"/>
      <c r="N22" s="31" t="s">
        <v>73</v>
      </c>
      <c r="O22" s="22" t="b">
        <v>0</v>
      </c>
      <c r="P22" s="23"/>
    </row>
    <row r="23" ht="15.75" customHeight="1">
      <c r="A23" s="22" t="s">
        <v>67</v>
      </c>
      <c r="B23" s="22" t="s">
        <v>81</v>
      </c>
      <c r="C23" s="13">
        <v>2026.0</v>
      </c>
      <c r="D23" s="23"/>
      <c r="E23" s="24"/>
      <c r="F23" s="24"/>
      <c r="G23" s="25"/>
      <c r="H23" s="32" t="str">
        <f t="shared" si="1"/>
        <v/>
      </c>
      <c r="I23" s="26" t="str">
        <f t="shared" si="2"/>
        <v/>
      </c>
      <c r="J23" s="23"/>
      <c r="K23" s="23"/>
      <c r="L23" s="23"/>
      <c r="M23" s="30"/>
      <c r="N23" s="31" t="s">
        <v>73</v>
      </c>
      <c r="O23" s="22" t="b">
        <v>1</v>
      </c>
      <c r="P23" s="23"/>
    </row>
    <row r="24" ht="15.75" customHeight="1">
      <c r="A24" s="22" t="s">
        <v>67</v>
      </c>
      <c r="B24" s="22" t="s">
        <v>82</v>
      </c>
      <c r="C24" s="13">
        <v>2026.0</v>
      </c>
      <c r="D24" s="23"/>
      <c r="E24" s="24"/>
      <c r="F24" s="24"/>
      <c r="G24" s="25"/>
      <c r="H24" s="32" t="str">
        <f t="shared" si="1"/>
        <v/>
      </c>
      <c r="I24" s="26" t="str">
        <f t="shared" si="2"/>
        <v/>
      </c>
      <c r="J24" s="23"/>
      <c r="K24" s="23"/>
      <c r="L24" s="23"/>
      <c r="M24" s="30"/>
      <c r="N24" s="31" t="s">
        <v>73</v>
      </c>
      <c r="O24" s="22" t="b">
        <v>1</v>
      </c>
      <c r="P24" s="23"/>
    </row>
    <row r="25" ht="15.75" customHeight="1">
      <c r="A25" s="22" t="s">
        <v>67</v>
      </c>
      <c r="B25" s="22" t="s">
        <v>83</v>
      </c>
      <c r="C25" s="13">
        <v>2026.0</v>
      </c>
      <c r="D25" s="23"/>
      <c r="E25" s="24"/>
      <c r="F25" s="24"/>
      <c r="G25" s="25"/>
      <c r="H25" s="32" t="str">
        <f t="shared" si="1"/>
        <v/>
      </c>
      <c r="I25" s="26" t="str">
        <f t="shared" si="2"/>
        <v/>
      </c>
      <c r="J25" s="23"/>
      <c r="K25" s="23"/>
      <c r="L25" s="23"/>
      <c r="M25" s="30"/>
      <c r="N25" s="31" t="s">
        <v>73</v>
      </c>
      <c r="O25" s="22" t="b">
        <v>1</v>
      </c>
      <c r="P25" s="23"/>
    </row>
    <row r="26" ht="15.75" customHeight="1">
      <c r="A26" s="22" t="s">
        <v>67</v>
      </c>
      <c r="B26" s="22" t="s">
        <v>84</v>
      </c>
      <c r="C26" s="13">
        <v>2026.0</v>
      </c>
      <c r="D26" s="23"/>
      <c r="E26" s="24"/>
      <c r="F26" s="24"/>
      <c r="G26" s="25"/>
      <c r="H26" s="32" t="str">
        <f t="shared" si="1"/>
        <v/>
      </c>
      <c r="I26" s="26" t="str">
        <f t="shared" si="2"/>
        <v/>
      </c>
      <c r="J26" s="23"/>
      <c r="K26" s="23"/>
      <c r="L26" s="23"/>
      <c r="M26" s="30"/>
      <c r="N26" s="31" t="s">
        <v>73</v>
      </c>
      <c r="O26" s="22" t="b">
        <v>1</v>
      </c>
      <c r="P26" s="23"/>
    </row>
    <row r="27" ht="15.75" customHeight="1">
      <c r="A27" s="22" t="s">
        <v>67</v>
      </c>
      <c r="B27" s="22" t="s">
        <v>85</v>
      </c>
      <c r="C27" s="13">
        <v>2026.0</v>
      </c>
      <c r="D27" s="22" t="s">
        <v>86</v>
      </c>
      <c r="E27" s="24"/>
      <c r="F27" s="24"/>
      <c r="G27" s="25"/>
      <c r="H27" s="32" t="str">
        <f t="shared" si="1"/>
        <v/>
      </c>
      <c r="I27" s="26" t="str">
        <f t="shared" si="2"/>
        <v/>
      </c>
      <c r="J27" s="23"/>
      <c r="K27" s="23"/>
      <c r="L27" s="23"/>
      <c r="M27" s="30"/>
      <c r="N27" s="31" t="s">
        <v>73</v>
      </c>
      <c r="O27" s="22" t="b">
        <v>1</v>
      </c>
      <c r="P27" s="22" t="s">
        <v>87</v>
      </c>
    </row>
    <row r="28" ht="15.75" customHeight="1">
      <c r="A28" s="22" t="s">
        <v>88</v>
      </c>
      <c r="B28" s="22" t="s">
        <v>89</v>
      </c>
      <c r="C28" s="13">
        <v>2026.0</v>
      </c>
      <c r="D28" s="23"/>
      <c r="E28" s="24"/>
      <c r="F28" s="24"/>
      <c r="G28" s="25"/>
      <c r="H28" s="32" t="str">
        <f t="shared" si="1"/>
        <v/>
      </c>
      <c r="I28" s="26" t="str">
        <f t="shared" si="2"/>
        <v/>
      </c>
      <c r="J28" s="23"/>
      <c r="K28" s="23"/>
      <c r="L28" s="23"/>
      <c r="M28" s="30"/>
      <c r="N28" s="31" t="s">
        <v>73</v>
      </c>
      <c r="O28" s="22" t="b">
        <v>1</v>
      </c>
      <c r="P28" s="22" t="s">
        <v>90</v>
      </c>
    </row>
    <row r="29" ht="15.75" customHeight="1">
      <c r="A29" s="22" t="s">
        <v>88</v>
      </c>
      <c r="B29" s="22" t="s">
        <v>91</v>
      </c>
      <c r="C29" s="13">
        <v>2026.0</v>
      </c>
      <c r="D29" s="23"/>
      <c r="E29" s="24"/>
      <c r="F29" s="24"/>
      <c r="G29" s="25"/>
      <c r="H29" s="32" t="str">
        <f t="shared" si="1"/>
        <v/>
      </c>
      <c r="I29" s="26" t="str">
        <f t="shared" si="2"/>
        <v/>
      </c>
      <c r="J29" s="23"/>
      <c r="K29" s="23"/>
      <c r="L29" s="23"/>
      <c r="M29" s="30"/>
      <c r="N29" s="31" t="s">
        <v>73</v>
      </c>
      <c r="O29" s="22" t="b">
        <v>1</v>
      </c>
      <c r="P29" s="23"/>
    </row>
    <row r="30" ht="15.75" customHeight="1">
      <c r="A30" s="22" t="s">
        <v>88</v>
      </c>
      <c r="B30" s="22" t="s">
        <v>92</v>
      </c>
      <c r="C30" s="13">
        <v>2026.0</v>
      </c>
      <c r="D30" s="23"/>
      <c r="E30" s="24"/>
      <c r="F30" s="24"/>
      <c r="G30" s="25"/>
      <c r="H30" s="32" t="str">
        <f t="shared" si="1"/>
        <v/>
      </c>
      <c r="I30" s="26" t="str">
        <f t="shared" si="2"/>
        <v/>
      </c>
      <c r="J30" s="23"/>
      <c r="K30" s="23"/>
      <c r="L30" s="23"/>
      <c r="M30" s="30"/>
      <c r="N30" s="31" t="s">
        <v>73</v>
      </c>
      <c r="O30" s="22" t="b">
        <v>1</v>
      </c>
      <c r="P30" s="23"/>
    </row>
    <row r="31" ht="15.75" customHeight="1">
      <c r="A31" s="22" t="s">
        <v>93</v>
      </c>
      <c r="B31" s="22" t="s">
        <v>94</v>
      </c>
      <c r="C31" s="13">
        <v>2026.0</v>
      </c>
      <c r="D31" s="23"/>
      <c r="E31" s="24"/>
      <c r="F31" s="24"/>
      <c r="G31" s="25"/>
      <c r="H31" s="32" t="str">
        <f t="shared" si="1"/>
        <v/>
      </c>
      <c r="I31" s="26" t="str">
        <f t="shared" si="2"/>
        <v/>
      </c>
      <c r="J31" s="23"/>
      <c r="K31" s="23"/>
      <c r="L31" s="23"/>
      <c r="M31" s="30"/>
      <c r="N31" s="31" t="s">
        <v>73</v>
      </c>
      <c r="O31" s="22" t="b">
        <v>1</v>
      </c>
      <c r="P31" s="22" t="s">
        <v>87</v>
      </c>
    </row>
    <row r="32" ht="15.75" customHeight="1">
      <c r="A32" s="22" t="s">
        <v>93</v>
      </c>
      <c r="B32" s="22" t="s">
        <v>95</v>
      </c>
      <c r="C32" s="13">
        <v>2026.0</v>
      </c>
      <c r="D32" s="23"/>
      <c r="E32" s="24"/>
      <c r="F32" s="24"/>
      <c r="G32" s="25"/>
      <c r="H32" s="32" t="str">
        <f t="shared" si="1"/>
        <v/>
      </c>
      <c r="I32" s="26" t="str">
        <f t="shared" si="2"/>
        <v/>
      </c>
      <c r="J32" s="23"/>
      <c r="K32" s="23"/>
      <c r="L32" s="23"/>
      <c r="M32" s="30"/>
      <c r="N32" s="31" t="s">
        <v>73</v>
      </c>
      <c r="O32" s="22" t="b">
        <v>1</v>
      </c>
      <c r="P32" s="23"/>
    </row>
    <row r="33" ht="15.75" customHeight="1">
      <c r="A33" s="22" t="s">
        <v>93</v>
      </c>
      <c r="B33" s="22" t="s">
        <v>96</v>
      </c>
      <c r="C33" s="13">
        <v>2026.0</v>
      </c>
      <c r="D33" s="23"/>
      <c r="E33" s="24"/>
      <c r="F33" s="24"/>
      <c r="G33" s="25"/>
      <c r="H33" s="32" t="str">
        <f t="shared" si="1"/>
        <v/>
      </c>
      <c r="I33" s="26" t="str">
        <f t="shared" si="2"/>
        <v/>
      </c>
      <c r="J33" s="23"/>
      <c r="K33" s="23"/>
      <c r="L33" s="23"/>
      <c r="M33" s="30"/>
      <c r="N33" s="31" t="s">
        <v>73</v>
      </c>
      <c r="O33" s="22" t="b">
        <v>1</v>
      </c>
      <c r="P33" s="23"/>
    </row>
    <row r="34" ht="15.75" customHeight="1">
      <c r="A34" s="22" t="s">
        <v>93</v>
      </c>
      <c r="B34" s="22" t="s">
        <v>97</v>
      </c>
      <c r="C34" s="13">
        <v>2026.0</v>
      </c>
      <c r="D34" s="23"/>
      <c r="E34" s="24"/>
      <c r="F34" s="24"/>
      <c r="G34" s="25"/>
      <c r="H34" s="32" t="str">
        <f t="shared" si="1"/>
        <v/>
      </c>
      <c r="I34" s="26" t="str">
        <f t="shared" si="2"/>
        <v/>
      </c>
      <c r="J34" s="23"/>
      <c r="K34" s="23"/>
      <c r="L34" s="23"/>
      <c r="M34" s="30"/>
      <c r="N34" s="31" t="s">
        <v>73</v>
      </c>
      <c r="O34" s="22" t="b">
        <v>1</v>
      </c>
      <c r="P34" s="23"/>
    </row>
    <row r="35" ht="15.75" customHeight="1">
      <c r="A35" s="22" t="s">
        <v>93</v>
      </c>
      <c r="B35" s="22" t="s">
        <v>98</v>
      </c>
      <c r="C35" s="13">
        <v>2026.0</v>
      </c>
      <c r="D35" s="23"/>
      <c r="E35" s="24"/>
      <c r="F35" s="24"/>
      <c r="G35" s="25"/>
      <c r="H35" s="32" t="str">
        <f t="shared" si="1"/>
        <v/>
      </c>
      <c r="I35" s="26" t="str">
        <f t="shared" si="2"/>
        <v/>
      </c>
      <c r="J35" s="23"/>
      <c r="K35" s="23"/>
      <c r="L35" s="23"/>
      <c r="M35" s="30"/>
      <c r="N35" s="31" t="s">
        <v>73</v>
      </c>
      <c r="O35" s="22" t="b">
        <v>1</v>
      </c>
      <c r="P35" s="23"/>
    </row>
    <row r="36" ht="15.75" customHeight="1">
      <c r="A36" s="22" t="s">
        <v>93</v>
      </c>
      <c r="B36" s="22" t="s">
        <v>99</v>
      </c>
      <c r="C36" s="13">
        <v>2026.0</v>
      </c>
      <c r="D36" s="23"/>
      <c r="E36" s="24"/>
      <c r="F36" s="24"/>
      <c r="G36" s="25"/>
      <c r="H36" s="32" t="str">
        <f t="shared" si="1"/>
        <v/>
      </c>
      <c r="I36" s="26" t="str">
        <f t="shared" si="2"/>
        <v/>
      </c>
      <c r="J36" s="23"/>
      <c r="K36" s="23"/>
      <c r="L36" s="23"/>
      <c r="M36" s="30"/>
      <c r="N36" s="31" t="s">
        <v>73</v>
      </c>
      <c r="O36" s="22" t="b">
        <v>1</v>
      </c>
      <c r="P36" s="23"/>
    </row>
    <row r="37" ht="15.75" customHeight="1">
      <c r="A37" s="22" t="s">
        <v>93</v>
      </c>
      <c r="B37" s="22" t="s">
        <v>100</v>
      </c>
      <c r="C37" s="13">
        <v>2026.0</v>
      </c>
      <c r="D37" s="23"/>
      <c r="E37" s="24"/>
      <c r="F37" s="24"/>
      <c r="G37" s="25"/>
      <c r="H37" s="32" t="str">
        <f t="shared" si="1"/>
        <v/>
      </c>
      <c r="I37" s="26" t="str">
        <f t="shared" si="2"/>
        <v/>
      </c>
      <c r="J37" s="23"/>
      <c r="K37" s="23"/>
      <c r="L37" s="23"/>
      <c r="M37" s="30"/>
      <c r="N37" s="31" t="s">
        <v>73</v>
      </c>
      <c r="O37" s="22" t="b">
        <v>1</v>
      </c>
      <c r="P37" s="23"/>
    </row>
    <row r="38" ht="15.75" customHeight="1">
      <c r="A38" s="22" t="s">
        <v>93</v>
      </c>
      <c r="B38" s="22" t="s">
        <v>101</v>
      </c>
      <c r="C38" s="13">
        <v>2026.0</v>
      </c>
      <c r="D38" s="23"/>
      <c r="E38" s="24"/>
      <c r="F38" s="24"/>
      <c r="G38" s="25"/>
      <c r="H38" s="32" t="str">
        <f t="shared" si="1"/>
        <v/>
      </c>
      <c r="I38" s="26" t="str">
        <f t="shared" si="2"/>
        <v/>
      </c>
      <c r="J38" s="23"/>
      <c r="K38" s="23"/>
      <c r="L38" s="23"/>
      <c r="M38" s="30"/>
      <c r="N38" s="31" t="s">
        <v>73</v>
      </c>
      <c r="O38" s="22" t="b">
        <v>1</v>
      </c>
      <c r="P38" s="23"/>
    </row>
    <row r="39" ht="15.75" customHeight="1">
      <c r="A39" s="22" t="s">
        <v>93</v>
      </c>
      <c r="B39" s="22" t="s">
        <v>102</v>
      </c>
      <c r="C39" s="13">
        <v>2026.0</v>
      </c>
      <c r="D39" s="23"/>
      <c r="E39" s="24"/>
      <c r="F39" s="24"/>
      <c r="G39" s="25"/>
      <c r="H39" s="32" t="str">
        <f t="shared" si="1"/>
        <v/>
      </c>
      <c r="I39" s="26" t="str">
        <f t="shared" si="2"/>
        <v/>
      </c>
      <c r="J39" s="23"/>
      <c r="K39" s="23"/>
      <c r="L39" s="23"/>
      <c r="M39" s="30"/>
      <c r="N39" s="31" t="s">
        <v>73</v>
      </c>
      <c r="O39" s="22" t="b">
        <v>1</v>
      </c>
      <c r="P39" s="23"/>
    </row>
    <row r="40" ht="15.75" customHeight="1">
      <c r="A40" s="23"/>
      <c r="B40" s="23"/>
      <c r="C40" s="30"/>
      <c r="D40" s="23"/>
      <c r="E40" s="24"/>
      <c r="F40" s="24"/>
      <c r="G40" s="25"/>
      <c r="H40" s="32" t="str">
        <f t="shared" si="1"/>
        <v/>
      </c>
      <c r="I40" s="26" t="str">
        <f t="shared" si="2"/>
        <v/>
      </c>
      <c r="J40" s="23"/>
      <c r="K40" s="23"/>
      <c r="L40" s="23"/>
      <c r="M40" s="30"/>
      <c r="N40" s="33"/>
      <c r="O40" s="23"/>
      <c r="P40" s="23"/>
    </row>
    <row r="41" ht="15.75" customHeight="1">
      <c r="A41" s="23"/>
      <c r="B41" s="23"/>
      <c r="C41" s="30"/>
      <c r="D41" s="23"/>
      <c r="E41" s="24"/>
      <c r="F41" s="24"/>
      <c r="G41" s="25"/>
      <c r="H41" s="32" t="str">
        <f t="shared" si="1"/>
        <v/>
      </c>
      <c r="I41" s="26" t="str">
        <f t="shared" si="2"/>
        <v/>
      </c>
      <c r="J41" s="23"/>
      <c r="K41" s="23"/>
      <c r="L41" s="23"/>
      <c r="M41" s="30"/>
      <c r="N41" s="33"/>
      <c r="O41" s="23"/>
      <c r="P41" s="23"/>
    </row>
    <row r="42" ht="15.75" customHeight="1">
      <c r="A42" s="23"/>
      <c r="B42" s="23"/>
      <c r="C42" s="30"/>
      <c r="D42" s="23"/>
      <c r="E42" s="24"/>
      <c r="F42" s="24"/>
      <c r="G42" s="25"/>
      <c r="H42" s="32" t="str">
        <f t="shared" si="1"/>
        <v/>
      </c>
      <c r="I42" s="26" t="str">
        <f t="shared" si="2"/>
        <v/>
      </c>
      <c r="J42" s="23"/>
      <c r="K42" s="23"/>
      <c r="L42" s="23"/>
      <c r="M42" s="30"/>
      <c r="N42" s="33"/>
      <c r="O42" s="23"/>
      <c r="P42" s="23"/>
    </row>
    <row r="43" ht="15.75" customHeight="1">
      <c r="A43" s="23"/>
      <c r="B43" s="23"/>
      <c r="C43" s="30"/>
      <c r="D43" s="23"/>
      <c r="E43" s="24"/>
      <c r="F43" s="24"/>
      <c r="G43" s="25"/>
      <c r="H43" s="32" t="str">
        <f t="shared" si="1"/>
        <v/>
      </c>
      <c r="I43" s="26" t="str">
        <f t="shared" si="2"/>
        <v/>
      </c>
      <c r="J43" s="23"/>
      <c r="K43" s="23"/>
      <c r="L43" s="23"/>
      <c r="M43" s="30"/>
      <c r="N43" s="33"/>
      <c r="O43" s="23"/>
      <c r="P43" s="23"/>
    </row>
    <row r="44" ht="15.75" customHeight="1">
      <c r="A44" s="23"/>
      <c r="B44" s="23"/>
      <c r="C44" s="30"/>
      <c r="D44" s="23"/>
      <c r="E44" s="24"/>
      <c r="F44" s="24"/>
      <c r="G44" s="25"/>
      <c r="H44" s="32" t="str">
        <f t="shared" si="1"/>
        <v/>
      </c>
      <c r="I44" s="26" t="str">
        <f t="shared" si="2"/>
        <v/>
      </c>
      <c r="J44" s="23"/>
      <c r="K44" s="23"/>
      <c r="L44" s="23"/>
      <c r="M44" s="30"/>
      <c r="N44" s="33"/>
      <c r="O44" s="23"/>
      <c r="P44" s="2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qref="B5:B44">
      <formula1>Listas!$B$2:$B$200</formula1>
    </dataValidation>
    <dataValidation type="list" allowBlank="1" sqref="D5:D44">
      <formula1>"Fixed Price,Always On,TYM,Rebates,Farming"</formula1>
    </dataValidation>
    <dataValidation type="list" allowBlank="1" sqref="M5:M44">
      <formula1>"Activo,Cerrado"</formula1>
    </dataValidation>
    <dataValidation type="list" allowBlank="1" sqref="A5:A44">
      <formula1>Listas!$A$2:$A$200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1.14"/>
    <col customWidth="1" min="2" max="2" width="30.0"/>
    <col customWidth="1" min="3" max="3" width="20.57"/>
    <col customWidth="1" min="4" max="4" width="14.0"/>
    <col customWidth="1" min="5" max="5" width="10.57"/>
    <col customWidth="1" min="6" max="26" width="8.71"/>
  </cols>
  <sheetData>
    <row r="1">
      <c r="A1" s="34" t="s">
        <v>10</v>
      </c>
      <c r="B1" s="34" t="s">
        <v>13</v>
      </c>
      <c r="C1" s="34" t="s">
        <v>17</v>
      </c>
      <c r="D1" s="34" t="s">
        <v>35</v>
      </c>
      <c r="E1" s="34" t="s">
        <v>103</v>
      </c>
    </row>
    <row r="2" hidden="1">
      <c r="A2" s="35" t="s">
        <v>104</v>
      </c>
      <c r="B2" s="35" t="s">
        <v>105</v>
      </c>
      <c r="C2" s="3"/>
      <c r="D2" s="3"/>
      <c r="E2" s="36" t="s">
        <v>106</v>
      </c>
    </row>
    <row r="3" hidden="1">
      <c r="A3" s="35" t="s">
        <v>104</v>
      </c>
      <c r="B3" s="35" t="s">
        <v>107</v>
      </c>
      <c r="C3" s="3"/>
      <c r="D3" s="3"/>
      <c r="E3" s="36" t="s">
        <v>106</v>
      </c>
    </row>
    <row r="4" hidden="1">
      <c r="A4" s="35" t="s">
        <v>104</v>
      </c>
      <c r="B4" s="35" t="s">
        <v>108</v>
      </c>
      <c r="C4" s="3"/>
      <c r="E4" s="36" t="s">
        <v>106</v>
      </c>
    </row>
    <row r="5" hidden="1">
      <c r="A5" s="35" t="s">
        <v>104</v>
      </c>
      <c r="B5" s="35" t="s">
        <v>109</v>
      </c>
      <c r="C5" s="3"/>
      <c r="E5" s="36" t="s">
        <v>106</v>
      </c>
    </row>
    <row r="6">
      <c r="A6" s="37" t="s">
        <v>51</v>
      </c>
      <c r="B6" s="37" t="s">
        <v>52</v>
      </c>
      <c r="E6" s="36" t="s">
        <v>110</v>
      </c>
    </row>
    <row r="7">
      <c r="A7" s="37" t="s">
        <v>51</v>
      </c>
      <c r="B7" s="37" t="s">
        <v>55</v>
      </c>
      <c r="E7" s="36" t="s">
        <v>110</v>
      </c>
    </row>
    <row r="8" hidden="1">
      <c r="A8" s="37" t="s">
        <v>111</v>
      </c>
      <c r="B8" s="37" t="s">
        <v>112</v>
      </c>
      <c r="E8" s="36" t="s">
        <v>113</v>
      </c>
    </row>
    <row r="9" hidden="1">
      <c r="A9" s="37" t="s">
        <v>114</v>
      </c>
      <c r="B9" s="37" t="s">
        <v>115</v>
      </c>
      <c r="E9" s="36" t="s">
        <v>113</v>
      </c>
    </row>
    <row r="10" hidden="1">
      <c r="A10" s="38" t="s">
        <v>116</v>
      </c>
      <c r="B10" s="37" t="s">
        <v>117</v>
      </c>
      <c r="E10" s="36" t="s">
        <v>113</v>
      </c>
    </row>
    <row r="11" hidden="1">
      <c r="A11" s="37" t="s">
        <v>118</v>
      </c>
      <c r="B11" s="37" t="s">
        <v>119</v>
      </c>
      <c r="E11" s="36" t="s">
        <v>113</v>
      </c>
    </row>
    <row r="12" hidden="1">
      <c r="A12" s="37" t="s">
        <v>118</v>
      </c>
      <c r="B12" s="37" t="s">
        <v>120</v>
      </c>
      <c r="E12" s="36" t="s">
        <v>113</v>
      </c>
    </row>
    <row r="13">
      <c r="A13" s="37" t="s">
        <v>51</v>
      </c>
      <c r="B13" s="37" t="s">
        <v>57</v>
      </c>
      <c r="E13" s="36" t="s">
        <v>110</v>
      </c>
    </row>
    <row r="14" hidden="1">
      <c r="A14" s="37" t="s">
        <v>121</v>
      </c>
      <c r="B14" s="37" t="s">
        <v>122</v>
      </c>
      <c r="E14" s="36" t="s">
        <v>113</v>
      </c>
    </row>
    <row r="15">
      <c r="A15" s="37" t="s">
        <v>51</v>
      </c>
      <c r="B15" s="37" t="s">
        <v>58</v>
      </c>
      <c r="E15" s="36" t="s">
        <v>110</v>
      </c>
    </row>
    <row r="16">
      <c r="A16" s="37" t="s">
        <v>51</v>
      </c>
      <c r="B16" s="37" t="s">
        <v>59</v>
      </c>
      <c r="E16" s="36" t="s">
        <v>110</v>
      </c>
    </row>
    <row r="17">
      <c r="A17" s="37" t="s">
        <v>51</v>
      </c>
      <c r="B17" s="37" t="s">
        <v>60</v>
      </c>
      <c r="E17" s="36" t="s">
        <v>110</v>
      </c>
    </row>
    <row r="18" hidden="1">
      <c r="A18" s="37" t="s">
        <v>123</v>
      </c>
      <c r="B18" s="37" t="s">
        <v>124</v>
      </c>
      <c r="E18" s="37" t="s">
        <v>106</v>
      </c>
    </row>
    <row r="19">
      <c r="A19" s="35" t="s">
        <v>62</v>
      </c>
      <c r="B19" s="35" t="s">
        <v>63</v>
      </c>
      <c r="C19" s="3"/>
      <c r="E19" s="36" t="s">
        <v>110</v>
      </c>
    </row>
    <row r="20">
      <c r="A20" s="37" t="s">
        <v>62</v>
      </c>
      <c r="B20" s="37" t="s">
        <v>64</v>
      </c>
      <c r="E20" s="36" t="s">
        <v>110</v>
      </c>
    </row>
    <row r="21" ht="15.75" customHeight="1">
      <c r="A21" s="37" t="s">
        <v>65</v>
      </c>
      <c r="B21" s="37" t="s">
        <v>66</v>
      </c>
      <c r="E21" s="36" t="s">
        <v>110</v>
      </c>
    </row>
    <row r="22" ht="15.75" customHeight="1">
      <c r="A22" s="37" t="s">
        <v>125</v>
      </c>
      <c r="B22" s="37" t="s">
        <v>126</v>
      </c>
      <c r="E22" s="36" t="s">
        <v>110</v>
      </c>
    </row>
    <row r="23" ht="15.75" customHeight="1">
      <c r="A23" s="37" t="s">
        <v>125</v>
      </c>
      <c r="B23" s="37" t="s">
        <v>127</v>
      </c>
      <c r="E23" s="36" t="s">
        <v>110</v>
      </c>
    </row>
    <row r="24" ht="15.75" customHeight="1">
      <c r="A24" s="37" t="s">
        <v>128</v>
      </c>
      <c r="B24" s="37" t="s">
        <v>129</v>
      </c>
      <c r="E24" s="36" t="s">
        <v>110</v>
      </c>
    </row>
    <row r="25" ht="15.75" customHeight="1">
      <c r="A25" s="37" t="s">
        <v>128</v>
      </c>
      <c r="B25" s="37" t="s">
        <v>130</v>
      </c>
      <c r="E25" s="36" t="s">
        <v>110</v>
      </c>
    </row>
    <row r="26" ht="15.75" customHeight="1">
      <c r="A26" s="37" t="s">
        <v>128</v>
      </c>
      <c r="B26" s="37" t="s">
        <v>131</v>
      </c>
      <c r="E26" s="36" t="s">
        <v>110</v>
      </c>
    </row>
    <row r="27" ht="15.75" customHeight="1">
      <c r="A27" s="37" t="s">
        <v>132</v>
      </c>
      <c r="B27" s="37" t="s">
        <v>133</v>
      </c>
      <c r="E27" s="36" t="s">
        <v>110</v>
      </c>
    </row>
    <row r="28" ht="15.75" hidden="1" customHeight="1">
      <c r="A28" s="37" t="s">
        <v>114</v>
      </c>
      <c r="B28" s="37" t="s">
        <v>134</v>
      </c>
      <c r="E28" s="36" t="s">
        <v>113</v>
      </c>
    </row>
    <row r="29" ht="15.75" customHeight="1">
      <c r="A29" s="37" t="s">
        <v>132</v>
      </c>
      <c r="B29" s="37" t="s">
        <v>135</v>
      </c>
      <c r="E29" s="36" t="s">
        <v>110</v>
      </c>
    </row>
    <row r="30" ht="15.75" customHeight="1">
      <c r="A30" s="37" t="s">
        <v>132</v>
      </c>
      <c r="B30" s="37" t="s">
        <v>136</v>
      </c>
      <c r="E30" s="36" t="s">
        <v>110</v>
      </c>
    </row>
    <row r="31" ht="15.75" customHeight="1">
      <c r="A31" s="37" t="s">
        <v>132</v>
      </c>
      <c r="B31" s="37" t="s">
        <v>137</v>
      </c>
      <c r="E31" s="36" t="s">
        <v>110</v>
      </c>
    </row>
    <row r="32" ht="15.75" customHeight="1">
      <c r="A32" s="37" t="s">
        <v>132</v>
      </c>
      <c r="B32" s="37" t="s">
        <v>138</v>
      </c>
      <c r="E32" s="36" t="s">
        <v>110</v>
      </c>
    </row>
    <row r="33" ht="15.75" customHeight="1">
      <c r="A33" s="37" t="s">
        <v>132</v>
      </c>
      <c r="B33" s="37" t="s">
        <v>139</v>
      </c>
      <c r="E33" s="36" t="s">
        <v>110</v>
      </c>
    </row>
    <row r="34" ht="15.75" customHeight="1">
      <c r="A34" s="37" t="s">
        <v>132</v>
      </c>
      <c r="B34" s="37" t="s">
        <v>140</v>
      </c>
      <c r="E34" s="36" t="s">
        <v>110</v>
      </c>
    </row>
    <row r="35" ht="15.75" customHeight="1">
      <c r="A35" s="37" t="s">
        <v>141</v>
      </c>
      <c r="B35" s="37" t="s">
        <v>142</v>
      </c>
      <c r="E35" s="36" t="s">
        <v>110</v>
      </c>
    </row>
    <row r="36" ht="15.75" customHeight="1">
      <c r="A36" s="37" t="s">
        <v>141</v>
      </c>
      <c r="B36" s="37" t="s">
        <v>143</v>
      </c>
      <c r="E36" s="36" t="s">
        <v>110</v>
      </c>
    </row>
    <row r="37" ht="15.75" customHeight="1">
      <c r="A37" s="37" t="s">
        <v>144</v>
      </c>
      <c r="B37" s="37" t="s">
        <v>145</v>
      </c>
      <c r="E37" s="36" t="s">
        <v>110</v>
      </c>
    </row>
    <row r="38" ht="15.75" customHeight="1">
      <c r="A38" s="37" t="s">
        <v>144</v>
      </c>
      <c r="B38" s="37" t="s">
        <v>146</v>
      </c>
      <c r="E38" s="36" t="s">
        <v>110</v>
      </c>
    </row>
    <row r="39" ht="15.75" customHeight="1">
      <c r="A39" s="37" t="s">
        <v>147</v>
      </c>
      <c r="B39" s="37" t="s">
        <v>148</v>
      </c>
      <c r="E39" s="36" t="s">
        <v>110</v>
      </c>
    </row>
    <row r="40" ht="15.75" customHeight="1">
      <c r="A40" s="37" t="s">
        <v>147</v>
      </c>
      <c r="B40" s="37" t="s">
        <v>149</v>
      </c>
      <c r="E40" s="36" t="s">
        <v>110</v>
      </c>
    </row>
    <row r="41" ht="15.75" customHeight="1">
      <c r="A41" s="37" t="s">
        <v>147</v>
      </c>
      <c r="B41" s="37" t="s">
        <v>150</v>
      </c>
      <c r="E41" s="36" t="s">
        <v>110</v>
      </c>
    </row>
    <row r="42" ht="15.75" customHeight="1">
      <c r="A42" s="37" t="s">
        <v>147</v>
      </c>
      <c r="B42" s="37" t="s">
        <v>151</v>
      </c>
      <c r="E42" s="36" t="s">
        <v>110</v>
      </c>
    </row>
    <row r="43" ht="15.75" customHeight="1">
      <c r="A43" s="37" t="s">
        <v>152</v>
      </c>
      <c r="B43" s="37" t="s">
        <v>153</v>
      </c>
      <c r="E43" s="36" t="s">
        <v>110</v>
      </c>
    </row>
    <row r="44" ht="15.75" customHeight="1">
      <c r="A44" s="37" t="s">
        <v>154</v>
      </c>
      <c r="B44" s="37" t="s">
        <v>102</v>
      </c>
      <c r="E44" s="36" t="s">
        <v>110</v>
      </c>
    </row>
    <row r="45" ht="15.75" customHeight="1">
      <c r="A45" s="37" t="s">
        <v>154</v>
      </c>
      <c r="B45" s="37" t="s">
        <v>155</v>
      </c>
      <c r="E45" s="36" t="s">
        <v>110</v>
      </c>
    </row>
    <row r="46" ht="15.75" customHeight="1">
      <c r="A46" s="37" t="s">
        <v>154</v>
      </c>
      <c r="B46" s="37" t="s">
        <v>156</v>
      </c>
      <c r="E46" s="36" t="s">
        <v>110</v>
      </c>
    </row>
    <row r="47" ht="15.75" customHeight="1">
      <c r="A47" s="37" t="s">
        <v>154</v>
      </c>
      <c r="B47" s="37" t="s">
        <v>157</v>
      </c>
      <c r="E47" s="36" t="s">
        <v>110</v>
      </c>
    </row>
    <row r="48" ht="15.75" hidden="1" customHeight="1">
      <c r="A48" s="37" t="s">
        <v>158</v>
      </c>
      <c r="B48" s="37" t="s">
        <v>159</v>
      </c>
      <c r="E48" s="36" t="s">
        <v>106</v>
      </c>
    </row>
    <row r="49" ht="15.75" customHeight="1">
      <c r="A49" s="37" t="s">
        <v>154</v>
      </c>
      <c r="B49" s="37" t="s">
        <v>160</v>
      </c>
      <c r="E49" s="36" t="s">
        <v>110</v>
      </c>
    </row>
    <row r="50" ht="15.75" hidden="1" customHeight="1">
      <c r="A50" s="37" t="s">
        <v>114</v>
      </c>
      <c r="B50" s="37" t="s">
        <v>161</v>
      </c>
      <c r="E50" s="36" t="s">
        <v>113</v>
      </c>
    </row>
    <row r="51" ht="15.75" customHeight="1">
      <c r="A51" s="37" t="s">
        <v>162</v>
      </c>
      <c r="B51" s="37" t="s">
        <v>163</v>
      </c>
      <c r="E51" s="36" t="s">
        <v>110</v>
      </c>
    </row>
    <row r="52" ht="15.75" customHeight="1">
      <c r="A52" s="37" t="s">
        <v>162</v>
      </c>
      <c r="B52" s="37" t="s">
        <v>164</v>
      </c>
      <c r="E52" s="36" t="s">
        <v>110</v>
      </c>
    </row>
    <row r="53" ht="15.75" customHeight="1">
      <c r="A53" s="37" t="s">
        <v>162</v>
      </c>
      <c r="B53" s="37" t="s">
        <v>165</v>
      </c>
      <c r="E53" s="36" t="s">
        <v>110</v>
      </c>
    </row>
    <row r="54" ht="15.75" customHeight="1">
      <c r="A54" s="37" t="s">
        <v>166</v>
      </c>
      <c r="B54" s="37" t="s">
        <v>167</v>
      </c>
      <c r="E54" s="36" t="s">
        <v>110</v>
      </c>
    </row>
    <row r="55" ht="15.75" customHeight="1">
      <c r="A55" s="37" t="s">
        <v>166</v>
      </c>
      <c r="B55" s="37" t="s">
        <v>168</v>
      </c>
      <c r="E55" s="36" t="s">
        <v>110</v>
      </c>
    </row>
    <row r="56" ht="15.75" customHeight="1">
      <c r="A56" s="37" t="s">
        <v>166</v>
      </c>
      <c r="B56" s="37" t="s">
        <v>169</v>
      </c>
      <c r="E56" s="36" t="s">
        <v>110</v>
      </c>
    </row>
    <row r="57" ht="15.75" customHeight="1">
      <c r="A57" s="37" t="s">
        <v>93</v>
      </c>
      <c r="B57" s="37" t="s">
        <v>94</v>
      </c>
      <c r="E57" s="36" t="s">
        <v>110</v>
      </c>
    </row>
    <row r="58" ht="15.75" hidden="1" customHeight="1">
      <c r="A58" s="37" t="s">
        <v>158</v>
      </c>
      <c r="B58" s="37" t="s">
        <v>170</v>
      </c>
      <c r="E58" s="36" t="s">
        <v>106</v>
      </c>
    </row>
    <row r="59" ht="15.75" customHeight="1">
      <c r="A59" s="37" t="s">
        <v>93</v>
      </c>
      <c r="B59" s="37" t="s">
        <v>95</v>
      </c>
      <c r="E59" s="36" t="s">
        <v>110</v>
      </c>
    </row>
    <row r="60" ht="15.75" customHeight="1">
      <c r="A60" s="37" t="s">
        <v>93</v>
      </c>
      <c r="B60" s="37" t="s">
        <v>96</v>
      </c>
      <c r="E60" s="36" t="s">
        <v>110</v>
      </c>
    </row>
    <row r="61" ht="15.75" customHeight="1">
      <c r="A61" s="37" t="s">
        <v>93</v>
      </c>
      <c r="B61" s="37" t="s">
        <v>97</v>
      </c>
      <c r="E61" s="36" t="s">
        <v>110</v>
      </c>
    </row>
    <row r="62" ht="15.75" customHeight="1">
      <c r="A62" s="37" t="s">
        <v>93</v>
      </c>
      <c r="B62" s="37" t="s">
        <v>98</v>
      </c>
      <c r="E62" s="36" t="s">
        <v>110</v>
      </c>
    </row>
    <row r="63" ht="15.75" customHeight="1">
      <c r="A63" s="37" t="s">
        <v>93</v>
      </c>
      <c r="B63" s="37" t="s">
        <v>99</v>
      </c>
      <c r="E63" s="36" t="s">
        <v>110</v>
      </c>
    </row>
    <row r="64" ht="15.75" customHeight="1">
      <c r="A64" s="37" t="s">
        <v>93</v>
      </c>
      <c r="B64" s="37" t="s">
        <v>100</v>
      </c>
      <c r="E64" s="36" t="s">
        <v>110</v>
      </c>
    </row>
    <row r="65" ht="15.75" customHeight="1">
      <c r="A65" s="37" t="s">
        <v>93</v>
      </c>
      <c r="B65" s="37" t="s">
        <v>101</v>
      </c>
      <c r="E65" s="36" t="s">
        <v>110</v>
      </c>
    </row>
    <row r="66" ht="15.75" customHeight="1">
      <c r="A66" s="37" t="s">
        <v>93</v>
      </c>
      <c r="B66" s="37" t="s">
        <v>102</v>
      </c>
      <c r="E66" s="36" t="s">
        <v>110</v>
      </c>
    </row>
    <row r="67" ht="15.75" customHeight="1">
      <c r="A67" s="37" t="s">
        <v>171</v>
      </c>
      <c r="B67" s="37" t="s">
        <v>172</v>
      </c>
      <c r="E67" s="36" t="s">
        <v>110</v>
      </c>
    </row>
    <row r="68" ht="15.75" hidden="1" customHeight="1">
      <c r="A68" s="37" t="s">
        <v>104</v>
      </c>
      <c r="B68" s="37" t="s">
        <v>173</v>
      </c>
      <c r="E68" s="36" t="s">
        <v>106</v>
      </c>
    </row>
    <row r="69" ht="15.75" customHeight="1">
      <c r="A69" s="37" t="s">
        <v>174</v>
      </c>
      <c r="B69" s="37" t="s">
        <v>175</v>
      </c>
      <c r="E69" s="36" t="s">
        <v>110</v>
      </c>
    </row>
    <row r="70" ht="15.75" customHeight="1">
      <c r="A70" s="37" t="s">
        <v>174</v>
      </c>
      <c r="B70" s="37" t="s">
        <v>145</v>
      </c>
      <c r="E70" s="36" t="s">
        <v>110</v>
      </c>
    </row>
    <row r="71" ht="15.75" customHeight="1">
      <c r="A71" s="37" t="s">
        <v>174</v>
      </c>
      <c r="B71" s="37" t="s">
        <v>176</v>
      </c>
      <c r="E71" s="36" t="s">
        <v>110</v>
      </c>
    </row>
    <row r="72" ht="15.75" customHeight="1">
      <c r="A72" s="37" t="s">
        <v>174</v>
      </c>
      <c r="B72" s="37" t="s">
        <v>177</v>
      </c>
      <c r="E72" s="36" t="s">
        <v>110</v>
      </c>
    </row>
    <row r="73" ht="15.75" customHeight="1">
      <c r="A73" s="37" t="s">
        <v>174</v>
      </c>
      <c r="B73" s="37" t="s">
        <v>178</v>
      </c>
      <c r="E73" s="36" t="s">
        <v>110</v>
      </c>
    </row>
    <row r="74" ht="15.75" hidden="1" customHeight="1">
      <c r="A74" s="37" t="s">
        <v>114</v>
      </c>
      <c r="B74" s="37" t="s">
        <v>179</v>
      </c>
      <c r="E74" s="36" t="s">
        <v>113</v>
      </c>
    </row>
    <row r="75" ht="15.75" customHeight="1">
      <c r="A75" s="37" t="s">
        <v>180</v>
      </c>
      <c r="B75" s="37" t="s">
        <v>145</v>
      </c>
      <c r="E75" s="36" t="s">
        <v>110</v>
      </c>
    </row>
    <row r="76" ht="15.75" customHeight="1">
      <c r="A76" s="37" t="s">
        <v>180</v>
      </c>
      <c r="B76" s="37" t="s">
        <v>102</v>
      </c>
      <c r="E76" s="36" t="s">
        <v>110</v>
      </c>
    </row>
    <row r="77" ht="15.75" hidden="1" customHeight="1">
      <c r="A77" s="37" t="s">
        <v>181</v>
      </c>
      <c r="B77" s="37" t="s">
        <v>182</v>
      </c>
      <c r="E77" s="36" t="s">
        <v>106</v>
      </c>
    </row>
    <row r="78" ht="15.75" customHeight="1">
      <c r="A78" s="37" t="s">
        <v>183</v>
      </c>
      <c r="B78" s="37" t="s">
        <v>184</v>
      </c>
      <c r="E78" s="36" t="s">
        <v>110</v>
      </c>
    </row>
    <row r="79" ht="15.75" customHeight="1">
      <c r="A79" s="37" t="s">
        <v>185</v>
      </c>
      <c r="B79" s="37" t="s">
        <v>186</v>
      </c>
      <c r="E79" s="36" t="s">
        <v>110</v>
      </c>
    </row>
    <row r="80" ht="15.75" customHeight="1">
      <c r="A80" s="37" t="s">
        <v>185</v>
      </c>
      <c r="B80" s="37" t="s">
        <v>187</v>
      </c>
      <c r="E80" s="36" t="s">
        <v>110</v>
      </c>
    </row>
    <row r="81" ht="15.75" hidden="1" customHeight="1">
      <c r="A81" s="37" t="s">
        <v>188</v>
      </c>
      <c r="B81" s="37" t="s">
        <v>189</v>
      </c>
      <c r="E81" s="36" t="s">
        <v>106</v>
      </c>
    </row>
    <row r="82" ht="15.75" customHeight="1">
      <c r="A82" s="37" t="s">
        <v>185</v>
      </c>
      <c r="B82" s="37" t="s">
        <v>190</v>
      </c>
      <c r="E82" s="36" t="s">
        <v>110</v>
      </c>
    </row>
    <row r="83" ht="15.75" hidden="1" customHeight="1">
      <c r="A83" s="37" t="s">
        <v>191</v>
      </c>
      <c r="B83" s="37" t="s">
        <v>192</v>
      </c>
      <c r="E83" s="36" t="s">
        <v>106</v>
      </c>
    </row>
    <row r="84" ht="15.75" hidden="1" customHeight="1">
      <c r="A84" s="37" t="s">
        <v>193</v>
      </c>
      <c r="B84" s="37" t="s">
        <v>194</v>
      </c>
      <c r="E84" s="36" t="s">
        <v>106</v>
      </c>
    </row>
    <row r="85" ht="15.75" hidden="1" customHeight="1">
      <c r="A85" s="37" t="s">
        <v>158</v>
      </c>
      <c r="B85" s="37" t="s">
        <v>195</v>
      </c>
      <c r="E85" s="36" t="s">
        <v>106</v>
      </c>
    </row>
    <row r="86" ht="15.75" hidden="1" customHeight="1">
      <c r="A86" s="37" t="s">
        <v>196</v>
      </c>
      <c r="B86" s="37" t="s">
        <v>197</v>
      </c>
      <c r="E86" s="36" t="s">
        <v>106</v>
      </c>
    </row>
    <row r="87" ht="15.75" hidden="1" customHeight="1">
      <c r="A87" s="37" t="s">
        <v>198</v>
      </c>
      <c r="B87" s="37" t="s">
        <v>199</v>
      </c>
      <c r="E87" s="36" t="s">
        <v>106</v>
      </c>
    </row>
    <row r="88" ht="15.75" customHeight="1">
      <c r="A88" s="37" t="s">
        <v>185</v>
      </c>
      <c r="B88" s="37" t="s">
        <v>200</v>
      </c>
      <c r="E88" s="36" t="s">
        <v>110</v>
      </c>
    </row>
    <row r="89" ht="15.75" hidden="1" customHeight="1">
      <c r="A89" s="37" t="s">
        <v>201</v>
      </c>
      <c r="B89" s="37" t="s">
        <v>202</v>
      </c>
      <c r="E89" s="36" t="s">
        <v>106</v>
      </c>
    </row>
    <row r="90" ht="15.75" hidden="1" customHeight="1">
      <c r="A90" s="37" t="s">
        <v>203</v>
      </c>
      <c r="B90" s="37" t="s">
        <v>204</v>
      </c>
      <c r="E90" s="36" t="s">
        <v>106</v>
      </c>
    </row>
    <row r="91" ht="15.75" hidden="1" customHeight="1">
      <c r="A91" s="37" t="s">
        <v>205</v>
      </c>
      <c r="B91" s="37" t="s">
        <v>206</v>
      </c>
      <c r="E91" s="36" t="s">
        <v>106</v>
      </c>
    </row>
    <row r="92" ht="15.75" customHeight="1">
      <c r="A92" s="37" t="s">
        <v>185</v>
      </c>
      <c r="B92" s="37" t="s">
        <v>133</v>
      </c>
      <c r="E92" s="36" t="s">
        <v>110</v>
      </c>
    </row>
    <row r="93" ht="15.75" hidden="1" customHeight="1">
      <c r="A93" s="37" t="s">
        <v>207</v>
      </c>
      <c r="B93" s="37" t="s">
        <v>208</v>
      </c>
      <c r="E93" s="36" t="s">
        <v>106</v>
      </c>
    </row>
    <row r="94" ht="15.75" hidden="1" customHeight="1">
      <c r="A94" s="37" t="s">
        <v>209</v>
      </c>
      <c r="B94" s="37" t="s">
        <v>210</v>
      </c>
      <c r="E94" s="36" t="s">
        <v>106</v>
      </c>
    </row>
    <row r="95" ht="15.75" hidden="1" customHeight="1">
      <c r="A95" s="37" t="s">
        <v>209</v>
      </c>
      <c r="B95" s="37" t="s">
        <v>211</v>
      </c>
      <c r="E95" s="36" t="s">
        <v>106</v>
      </c>
    </row>
    <row r="96" ht="15.75" hidden="1" customHeight="1">
      <c r="A96" s="37" t="s">
        <v>181</v>
      </c>
      <c r="B96" s="37" t="s">
        <v>212</v>
      </c>
      <c r="E96" s="36" t="s">
        <v>106</v>
      </c>
    </row>
    <row r="97" ht="15.75" hidden="1" customHeight="1">
      <c r="A97" s="37" t="s">
        <v>213</v>
      </c>
      <c r="B97" s="37" t="s">
        <v>214</v>
      </c>
      <c r="E97" s="36" t="s">
        <v>106</v>
      </c>
    </row>
    <row r="98" ht="15.75" hidden="1" customHeight="1">
      <c r="A98" s="37" t="s">
        <v>215</v>
      </c>
      <c r="B98" s="37" t="s">
        <v>216</v>
      </c>
      <c r="E98" s="36" t="s">
        <v>106</v>
      </c>
    </row>
    <row r="99" ht="15.75" hidden="1" customHeight="1">
      <c r="A99" s="37" t="s">
        <v>217</v>
      </c>
      <c r="B99" s="37" t="s">
        <v>218</v>
      </c>
      <c r="E99" s="36" t="s">
        <v>106</v>
      </c>
    </row>
    <row r="100" ht="15.75" hidden="1" customHeight="1">
      <c r="A100" s="37" t="s">
        <v>219</v>
      </c>
      <c r="B100" s="37" t="s">
        <v>220</v>
      </c>
      <c r="E100" s="36" t="s">
        <v>106</v>
      </c>
    </row>
    <row r="101" ht="15.75" hidden="1" customHeight="1">
      <c r="A101" s="37" t="s">
        <v>221</v>
      </c>
      <c r="B101" s="37" t="s">
        <v>222</v>
      </c>
      <c r="E101" s="36" t="s">
        <v>106</v>
      </c>
    </row>
    <row r="102" ht="15.75" hidden="1" customHeight="1">
      <c r="A102" s="37" t="s">
        <v>221</v>
      </c>
      <c r="B102" s="37" t="s">
        <v>223</v>
      </c>
      <c r="E102" s="36" t="s">
        <v>106</v>
      </c>
    </row>
    <row r="103" ht="15.75" hidden="1" customHeight="1">
      <c r="A103" s="37" t="s">
        <v>224</v>
      </c>
      <c r="B103" s="37" t="s">
        <v>225</v>
      </c>
      <c r="E103" s="36" t="s">
        <v>106</v>
      </c>
    </row>
    <row r="104" ht="15.75" hidden="1" customHeight="1">
      <c r="A104" s="37" t="s">
        <v>226</v>
      </c>
      <c r="B104" s="37" t="s">
        <v>227</v>
      </c>
      <c r="E104" s="36" t="s">
        <v>106</v>
      </c>
    </row>
    <row r="105" ht="15.75" hidden="1" customHeight="1">
      <c r="A105" s="37" t="s">
        <v>221</v>
      </c>
      <c r="B105" s="37" t="s">
        <v>228</v>
      </c>
      <c r="E105" s="36" t="s">
        <v>106</v>
      </c>
    </row>
    <row r="106" ht="15.75" hidden="1" customHeight="1">
      <c r="A106" s="37" t="s">
        <v>229</v>
      </c>
      <c r="B106" s="37" t="s">
        <v>230</v>
      </c>
      <c r="E106" s="36" t="s">
        <v>106</v>
      </c>
    </row>
    <row r="107" ht="15.75" hidden="1" customHeight="1">
      <c r="A107" s="37" t="s">
        <v>231</v>
      </c>
      <c r="B107" s="37" t="s">
        <v>232</v>
      </c>
      <c r="E107" s="36" t="s">
        <v>106</v>
      </c>
    </row>
    <row r="108" ht="15.75" hidden="1" customHeight="1">
      <c r="A108" s="37" t="s">
        <v>233</v>
      </c>
      <c r="B108" s="37" t="s">
        <v>234</v>
      </c>
      <c r="E108" s="36" t="s">
        <v>106</v>
      </c>
    </row>
    <row r="109" ht="15.75" hidden="1" customHeight="1">
      <c r="A109" s="37" t="s">
        <v>209</v>
      </c>
      <c r="B109" s="37" t="s">
        <v>235</v>
      </c>
      <c r="E109" s="36" t="s">
        <v>106</v>
      </c>
    </row>
    <row r="110" ht="15.75" customHeight="1">
      <c r="A110" s="37" t="s">
        <v>236</v>
      </c>
      <c r="B110" s="37" t="s">
        <v>237</v>
      </c>
      <c r="E110" s="36" t="s">
        <v>110</v>
      </c>
    </row>
    <row r="111" ht="15.75" customHeight="1">
      <c r="A111" s="37" t="s">
        <v>236</v>
      </c>
      <c r="B111" s="37" t="s">
        <v>238</v>
      </c>
      <c r="E111" s="36" t="s">
        <v>110</v>
      </c>
    </row>
    <row r="112" ht="15.75" hidden="1" customHeight="1">
      <c r="A112" s="37" t="s">
        <v>118</v>
      </c>
      <c r="B112" s="37" t="s">
        <v>239</v>
      </c>
      <c r="E112" s="36" t="s">
        <v>113</v>
      </c>
    </row>
    <row r="113" ht="15.75" customHeight="1">
      <c r="A113" s="37" t="s">
        <v>236</v>
      </c>
      <c r="B113" s="37" t="s">
        <v>240</v>
      </c>
      <c r="E113" s="36" t="s">
        <v>110</v>
      </c>
    </row>
    <row r="114" ht="15.75" customHeight="1">
      <c r="A114" s="37" t="s">
        <v>236</v>
      </c>
      <c r="B114" s="37" t="s">
        <v>241</v>
      </c>
      <c r="E114" s="36" t="s">
        <v>110</v>
      </c>
    </row>
    <row r="115" ht="15.75" customHeight="1">
      <c r="A115" s="37" t="s">
        <v>236</v>
      </c>
      <c r="B115" s="37" t="s">
        <v>242</v>
      </c>
      <c r="E115" s="36" t="s">
        <v>110</v>
      </c>
    </row>
    <row r="116" ht="15.75" hidden="1" customHeight="1">
      <c r="A116" s="37" t="s">
        <v>188</v>
      </c>
      <c r="B116" s="37" t="s">
        <v>243</v>
      </c>
      <c r="E116" s="36" t="s">
        <v>106</v>
      </c>
    </row>
    <row r="117" ht="15.75" hidden="1" customHeight="1">
      <c r="A117" s="37" t="s">
        <v>244</v>
      </c>
      <c r="B117" s="37" t="s">
        <v>245</v>
      </c>
      <c r="E117" s="36" t="s">
        <v>106</v>
      </c>
    </row>
    <row r="118" ht="15.75" customHeight="1">
      <c r="A118" s="37" t="s">
        <v>67</v>
      </c>
      <c r="B118" s="37" t="s">
        <v>68</v>
      </c>
      <c r="E118" s="36" t="s">
        <v>110</v>
      </c>
    </row>
    <row r="119" ht="15.75" customHeight="1">
      <c r="A119" s="37" t="s">
        <v>67</v>
      </c>
      <c r="B119" s="37" t="s">
        <v>72</v>
      </c>
      <c r="E119" s="36" t="s">
        <v>110</v>
      </c>
    </row>
    <row r="120" ht="15.75" customHeight="1">
      <c r="A120" s="37" t="s">
        <v>67</v>
      </c>
      <c r="B120" s="37" t="s">
        <v>74</v>
      </c>
      <c r="E120" s="36" t="s">
        <v>110</v>
      </c>
    </row>
    <row r="121" ht="15.75" customHeight="1">
      <c r="A121" s="37" t="s">
        <v>67</v>
      </c>
      <c r="B121" s="37" t="s">
        <v>75</v>
      </c>
      <c r="E121" s="36" t="s">
        <v>110</v>
      </c>
    </row>
    <row r="122" ht="15.75" hidden="1" customHeight="1">
      <c r="A122" s="37" t="s">
        <v>246</v>
      </c>
      <c r="B122" s="37" t="s">
        <v>247</v>
      </c>
      <c r="E122" s="36" t="s">
        <v>106</v>
      </c>
    </row>
    <row r="123" ht="15.75" customHeight="1">
      <c r="A123" s="37" t="s">
        <v>67</v>
      </c>
      <c r="B123" s="37" t="s">
        <v>76</v>
      </c>
      <c r="E123" s="36" t="s">
        <v>110</v>
      </c>
    </row>
    <row r="124" ht="15.75" customHeight="1">
      <c r="A124" s="37" t="s">
        <v>67</v>
      </c>
      <c r="B124" s="37" t="s">
        <v>77</v>
      </c>
      <c r="E124" s="36" t="s">
        <v>110</v>
      </c>
    </row>
    <row r="125" ht="15.75" hidden="1" customHeight="1">
      <c r="A125" s="37" t="s">
        <v>104</v>
      </c>
      <c r="B125" s="37" t="s">
        <v>248</v>
      </c>
      <c r="E125" s="36" t="s">
        <v>106</v>
      </c>
    </row>
    <row r="126" ht="15.75" customHeight="1">
      <c r="A126" s="37" t="s">
        <v>67</v>
      </c>
      <c r="B126" s="37" t="s">
        <v>78</v>
      </c>
      <c r="E126" s="36" t="s">
        <v>110</v>
      </c>
    </row>
    <row r="127" ht="15.75" customHeight="1">
      <c r="A127" s="37" t="s">
        <v>67</v>
      </c>
      <c r="B127" s="37" t="s">
        <v>79</v>
      </c>
      <c r="E127" s="36" t="s">
        <v>110</v>
      </c>
    </row>
    <row r="128" ht="15.75" customHeight="1">
      <c r="A128" s="37" t="s">
        <v>67</v>
      </c>
      <c r="B128" s="37" t="s">
        <v>80</v>
      </c>
      <c r="E128" s="36" t="s">
        <v>110</v>
      </c>
    </row>
    <row r="129" ht="15.75" customHeight="1">
      <c r="A129" s="37" t="s">
        <v>67</v>
      </c>
      <c r="B129" s="37" t="s">
        <v>81</v>
      </c>
      <c r="E129" s="36" t="s">
        <v>110</v>
      </c>
    </row>
    <row r="130" ht="15.75" customHeight="1">
      <c r="A130" s="37" t="s">
        <v>67</v>
      </c>
      <c r="B130" s="37" t="s">
        <v>82</v>
      </c>
      <c r="E130" s="36" t="s">
        <v>110</v>
      </c>
    </row>
    <row r="131" ht="15.75" customHeight="1">
      <c r="A131" s="37" t="s">
        <v>67</v>
      </c>
      <c r="B131" s="37" t="s">
        <v>83</v>
      </c>
      <c r="E131" s="36" t="s">
        <v>110</v>
      </c>
    </row>
    <row r="132" ht="15.75" hidden="1" customHeight="1">
      <c r="A132" s="37" t="s">
        <v>249</v>
      </c>
      <c r="B132" s="37" t="s">
        <v>250</v>
      </c>
      <c r="E132" s="36" t="s">
        <v>106</v>
      </c>
    </row>
    <row r="133" ht="15.75" hidden="1" customHeight="1">
      <c r="A133" s="37" t="s">
        <v>251</v>
      </c>
      <c r="B133" s="37" t="s">
        <v>252</v>
      </c>
      <c r="E133" s="37" t="s">
        <v>106</v>
      </c>
    </row>
    <row r="134" ht="15.75" customHeight="1">
      <c r="A134" s="37" t="s">
        <v>67</v>
      </c>
      <c r="B134" s="37" t="s">
        <v>84</v>
      </c>
      <c r="E134" s="36" t="s">
        <v>110</v>
      </c>
    </row>
    <row r="135" ht="15.75" customHeight="1">
      <c r="A135" s="37" t="s">
        <v>67</v>
      </c>
      <c r="B135" s="37" t="s">
        <v>85</v>
      </c>
      <c r="E135" s="36" t="s">
        <v>110</v>
      </c>
    </row>
    <row r="136" ht="15.75" hidden="1" customHeight="1">
      <c r="A136" s="37" t="s">
        <v>229</v>
      </c>
      <c r="B136" s="37" t="s">
        <v>253</v>
      </c>
      <c r="E136" s="36" t="s">
        <v>106</v>
      </c>
    </row>
    <row r="137" ht="15.75" hidden="1" customHeight="1">
      <c r="A137" s="37" t="s">
        <v>254</v>
      </c>
      <c r="B137" s="37" t="s">
        <v>255</v>
      </c>
      <c r="E137" s="37" t="s">
        <v>106</v>
      </c>
    </row>
    <row r="138" ht="15.75" customHeight="1">
      <c r="A138" s="37" t="s">
        <v>256</v>
      </c>
      <c r="B138" s="37" t="s">
        <v>257</v>
      </c>
      <c r="E138" s="36" t="s">
        <v>110</v>
      </c>
    </row>
    <row r="139" ht="15.75" customHeight="1">
      <c r="A139" s="37" t="s">
        <v>256</v>
      </c>
      <c r="B139" s="37" t="s">
        <v>258</v>
      </c>
      <c r="E139" s="36" t="s">
        <v>110</v>
      </c>
    </row>
    <row r="140" ht="15.75" customHeight="1">
      <c r="A140" s="37" t="s">
        <v>259</v>
      </c>
      <c r="B140" s="37" t="s">
        <v>260</v>
      </c>
      <c r="E140" s="36" t="s">
        <v>110</v>
      </c>
    </row>
    <row r="141" ht="15.75" customHeight="1">
      <c r="A141" s="37" t="s">
        <v>259</v>
      </c>
      <c r="B141" s="37" t="s">
        <v>261</v>
      </c>
      <c r="E141" s="36" t="s">
        <v>110</v>
      </c>
    </row>
    <row r="142" ht="15.75" customHeight="1">
      <c r="A142" s="37" t="s">
        <v>259</v>
      </c>
      <c r="B142" s="37" t="s">
        <v>262</v>
      </c>
      <c r="E142" s="36" t="s">
        <v>110</v>
      </c>
    </row>
    <row r="143" ht="15.75" customHeight="1">
      <c r="A143" s="37" t="s">
        <v>259</v>
      </c>
      <c r="B143" s="37" t="s">
        <v>263</v>
      </c>
      <c r="E143" s="36" t="s">
        <v>110</v>
      </c>
    </row>
    <row r="144" ht="15.75" customHeight="1">
      <c r="A144" s="37" t="s">
        <v>264</v>
      </c>
      <c r="B144" s="37" t="s">
        <v>265</v>
      </c>
      <c r="E144" s="36" t="s">
        <v>110</v>
      </c>
    </row>
    <row r="145" ht="15.75" customHeight="1">
      <c r="A145" s="37" t="s">
        <v>264</v>
      </c>
      <c r="B145" s="37" t="s">
        <v>266</v>
      </c>
      <c r="E145" s="36" t="s">
        <v>110</v>
      </c>
    </row>
    <row r="146" ht="15.75" customHeight="1">
      <c r="A146" s="37" t="s">
        <v>88</v>
      </c>
      <c r="B146" s="37" t="s">
        <v>89</v>
      </c>
      <c r="E146" s="36" t="s">
        <v>110</v>
      </c>
    </row>
    <row r="147" ht="15.75" customHeight="1">
      <c r="A147" s="37" t="s">
        <v>88</v>
      </c>
      <c r="B147" s="37" t="s">
        <v>91</v>
      </c>
      <c r="E147" s="36" t="s">
        <v>110</v>
      </c>
    </row>
    <row r="148" ht="15.75" customHeight="1">
      <c r="A148" s="37" t="s">
        <v>88</v>
      </c>
      <c r="B148" s="37" t="s">
        <v>92</v>
      </c>
      <c r="E148" s="36" t="s">
        <v>110</v>
      </c>
    </row>
    <row r="149" ht="15.75" customHeight="1">
      <c r="A149" s="37" t="s">
        <v>267</v>
      </c>
      <c r="B149" s="37" t="s">
        <v>268</v>
      </c>
      <c r="E149" s="36" t="s">
        <v>110</v>
      </c>
    </row>
    <row r="150" ht="15.75" customHeight="1">
      <c r="A150" s="37" t="s">
        <v>267</v>
      </c>
      <c r="B150" s="37" t="s">
        <v>269</v>
      </c>
      <c r="E150" s="36" t="s">
        <v>110</v>
      </c>
    </row>
    <row r="151" ht="15.75" customHeight="1">
      <c r="A151" s="37" t="s">
        <v>267</v>
      </c>
      <c r="B151" s="37" t="s">
        <v>270</v>
      </c>
      <c r="E151" s="36" t="s">
        <v>110</v>
      </c>
    </row>
    <row r="152" ht="15.75" customHeight="1">
      <c r="A152" s="37" t="s">
        <v>267</v>
      </c>
      <c r="B152" s="37" t="s">
        <v>271</v>
      </c>
      <c r="E152" s="36" t="s">
        <v>110</v>
      </c>
    </row>
    <row r="153" ht="15.75" customHeight="1">
      <c r="A153" s="37" t="s">
        <v>267</v>
      </c>
      <c r="B153" s="37" t="s">
        <v>272</v>
      </c>
      <c r="E153" s="36" t="s">
        <v>110</v>
      </c>
    </row>
    <row r="154" ht="15.75" customHeight="1">
      <c r="A154" s="37" t="s">
        <v>267</v>
      </c>
      <c r="B154" s="37" t="s">
        <v>273</v>
      </c>
      <c r="E154" s="36" t="s">
        <v>110</v>
      </c>
    </row>
    <row r="155" ht="15.75" customHeight="1">
      <c r="A155" s="35" t="s">
        <v>274</v>
      </c>
      <c r="B155" s="35" t="s">
        <v>275</v>
      </c>
      <c r="C155" s="3"/>
      <c r="E155" s="36" t="s">
        <v>110</v>
      </c>
    </row>
    <row r="156" ht="15.75" customHeight="1">
      <c r="A156" s="37" t="s">
        <v>274</v>
      </c>
      <c r="B156" s="37" t="s">
        <v>276</v>
      </c>
      <c r="E156" s="36" t="s">
        <v>110</v>
      </c>
    </row>
    <row r="157" ht="15.75" customHeight="1">
      <c r="A157" s="37" t="s">
        <v>274</v>
      </c>
      <c r="B157" s="37" t="s">
        <v>277</v>
      </c>
      <c r="E157" s="36" t="s">
        <v>110</v>
      </c>
    </row>
    <row r="158" ht="15.75" customHeight="1">
      <c r="A158" s="37" t="s">
        <v>274</v>
      </c>
      <c r="B158" s="37" t="s">
        <v>278</v>
      </c>
      <c r="E158" s="36" t="s">
        <v>110</v>
      </c>
    </row>
    <row r="159" ht="15.75" customHeight="1">
      <c r="A159" s="37" t="s">
        <v>274</v>
      </c>
      <c r="B159" s="37" t="s">
        <v>279</v>
      </c>
      <c r="E159" s="36" t="s">
        <v>110</v>
      </c>
    </row>
    <row r="160" ht="15.75" customHeight="1">
      <c r="A160" s="37" t="s">
        <v>274</v>
      </c>
      <c r="B160" s="37" t="s">
        <v>280</v>
      </c>
      <c r="E160" s="36" t="s">
        <v>110</v>
      </c>
    </row>
    <row r="161" ht="15.75" customHeight="1">
      <c r="A161" s="37" t="s">
        <v>274</v>
      </c>
      <c r="B161" s="37" t="s">
        <v>281</v>
      </c>
      <c r="E161" s="36" t="s">
        <v>110</v>
      </c>
    </row>
    <row r="162" ht="15.75" customHeight="1">
      <c r="A162" s="37" t="s">
        <v>274</v>
      </c>
      <c r="B162" s="37" t="s">
        <v>282</v>
      </c>
      <c r="E162" s="36" t="s">
        <v>110</v>
      </c>
    </row>
    <row r="163" ht="15.75" customHeight="1">
      <c r="A163" s="37" t="s">
        <v>274</v>
      </c>
      <c r="B163" s="37" t="s">
        <v>283</v>
      </c>
      <c r="E163" s="36" t="s">
        <v>110</v>
      </c>
    </row>
    <row r="164" ht="15.75" customHeight="1">
      <c r="A164" s="37" t="s">
        <v>274</v>
      </c>
      <c r="B164" s="37" t="s">
        <v>284</v>
      </c>
      <c r="E164" s="36" t="s">
        <v>110</v>
      </c>
    </row>
    <row r="165" ht="15.75" customHeight="1">
      <c r="A165" s="37" t="s">
        <v>285</v>
      </c>
      <c r="B165" s="37" t="s">
        <v>286</v>
      </c>
      <c r="E165" s="36" t="s">
        <v>110</v>
      </c>
    </row>
    <row r="166" ht="15.75" customHeight="1">
      <c r="A166" s="37" t="s">
        <v>287</v>
      </c>
      <c r="B166" s="37" t="s">
        <v>288</v>
      </c>
      <c r="E166" s="37" t="s">
        <v>110</v>
      </c>
    </row>
    <row r="167" ht="15.75" customHeight="1">
      <c r="A167" s="37" t="s">
        <v>289</v>
      </c>
      <c r="B167" s="37" t="s">
        <v>290</v>
      </c>
      <c r="E167" s="36" t="s">
        <v>110</v>
      </c>
    </row>
    <row r="168" ht="15.75" customHeight="1">
      <c r="A168" s="37" t="s">
        <v>291</v>
      </c>
      <c r="B168" s="37" t="s">
        <v>292</v>
      </c>
      <c r="E168" s="36" t="s">
        <v>110</v>
      </c>
    </row>
    <row r="169" ht="15.75" customHeight="1">
      <c r="A169" s="37" t="s">
        <v>293</v>
      </c>
      <c r="B169" s="37" t="s">
        <v>294</v>
      </c>
      <c r="E169" s="36" t="s">
        <v>110</v>
      </c>
    </row>
    <row r="170" ht="15.75" customHeight="1">
      <c r="A170" s="37" t="s">
        <v>293</v>
      </c>
      <c r="B170" s="37" t="s">
        <v>295</v>
      </c>
      <c r="E170" s="36" t="s">
        <v>110</v>
      </c>
    </row>
    <row r="171" ht="15.75" customHeight="1">
      <c r="A171" s="37" t="s">
        <v>293</v>
      </c>
      <c r="B171" s="37" t="s">
        <v>296</v>
      </c>
      <c r="E171" s="36" t="s">
        <v>110</v>
      </c>
    </row>
    <row r="172" ht="15.75" customHeight="1">
      <c r="A172" s="37" t="s">
        <v>293</v>
      </c>
      <c r="B172" s="37" t="s">
        <v>297</v>
      </c>
      <c r="E172" s="36" t="s">
        <v>110</v>
      </c>
    </row>
    <row r="173" ht="15.75" customHeight="1">
      <c r="A173" s="37" t="s">
        <v>293</v>
      </c>
      <c r="B173" s="37" t="s">
        <v>298</v>
      </c>
      <c r="E173" s="36" t="s">
        <v>110</v>
      </c>
    </row>
    <row r="174" ht="15.75" customHeight="1">
      <c r="A174" s="37" t="s">
        <v>293</v>
      </c>
      <c r="B174" s="37" t="s">
        <v>299</v>
      </c>
      <c r="E174" s="36" t="s">
        <v>110</v>
      </c>
    </row>
    <row r="175" ht="15.75" customHeight="1">
      <c r="A175" s="37" t="s">
        <v>293</v>
      </c>
      <c r="B175" s="37" t="s">
        <v>300</v>
      </c>
      <c r="E175" s="36" t="s">
        <v>110</v>
      </c>
    </row>
    <row r="176" ht="15.75" customHeight="1">
      <c r="A176" s="37" t="s">
        <v>293</v>
      </c>
      <c r="B176" s="37" t="s">
        <v>301</v>
      </c>
      <c r="E176" s="36" t="s">
        <v>110</v>
      </c>
    </row>
    <row r="177" ht="15.75" customHeight="1">
      <c r="A177" s="37" t="s">
        <v>293</v>
      </c>
      <c r="B177" s="37" t="s">
        <v>302</v>
      </c>
      <c r="E177" s="36" t="s">
        <v>110</v>
      </c>
    </row>
    <row r="178" ht="15.75" customHeight="1">
      <c r="A178" s="37" t="s">
        <v>293</v>
      </c>
      <c r="B178" s="37" t="s">
        <v>303</v>
      </c>
      <c r="E178" s="36" t="s">
        <v>110</v>
      </c>
    </row>
    <row r="179" ht="15.75" customHeight="1">
      <c r="A179" s="37" t="s">
        <v>293</v>
      </c>
      <c r="B179" s="37" t="s">
        <v>304</v>
      </c>
      <c r="E179" s="36" t="s">
        <v>110</v>
      </c>
    </row>
    <row r="180" ht="15.75" customHeight="1">
      <c r="A180" s="37" t="s">
        <v>293</v>
      </c>
      <c r="B180" s="37" t="s">
        <v>305</v>
      </c>
      <c r="E180" s="36" t="s">
        <v>110</v>
      </c>
    </row>
    <row r="181" ht="15.75" customHeight="1">
      <c r="A181" s="37" t="s">
        <v>293</v>
      </c>
      <c r="B181" s="37" t="s">
        <v>306</v>
      </c>
      <c r="E181" s="36" t="s">
        <v>110</v>
      </c>
    </row>
    <row r="182" ht="15.75" customHeight="1">
      <c r="A182" s="37" t="s">
        <v>293</v>
      </c>
      <c r="B182" s="37" t="s">
        <v>307</v>
      </c>
      <c r="E182" s="36" t="s">
        <v>110</v>
      </c>
    </row>
    <row r="183" ht="15.75" customHeight="1">
      <c r="A183" s="37" t="s">
        <v>308</v>
      </c>
      <c r="B183" s="37" t="s">
        <v>309</v>
      </c>
      <c r="E183" s="36" t="s">
        <v>110</v>
      </c>
    </row>
    <row r="184" ht="15.75" customHeight="1">
      <c r="A184" s="37" t="s">
        <v>308</v>
      </c>
      <c r="B184" s="37" t="s">
        <v>310</v>
      </c>
      <c r="E184" s="36" t="s">
        <v>110</v>
      </c>
    </row>
    <row r="185" ht="15.75" customHeight="1">
      <c r="A185" s="37" t="s">
        <v>308</v>
      </c>
      <c r="B185" s="37" t="s">
        <v>311</v>
      </c>
      <c r="E185" s="36" t="s">
        <v>110</v>
      </c>
    </row>
    <row r="186" ht="15.75" customHeight="1">
      <c r="A186" s="37" t="s">
        <v>308</v>
      </c>
      <c r="B186" s="37" t="s">
        <v>145</v>
      </c>
      <c r="E186" s="36" t="s">
        <v>110</v>
      </c>
    </row>
    <row r="187" ht="15.75" customHeight="1">
      <c r="A187" s="37" t="s">
        <v>308</v>
      </c>
      <c r="B187" s="37" t="s">
        <v>312</v>
      </c>
      <c r="E187" s="36" t="s">
        <v>110</v>
      </c>
    </row>
    <row r="188" ht="15.75" customHeight="1">
      <c r="A188" s="37" t="s">
        <v>308</v>
      </c>
      <c r="B188" s="37" t="s">
        <v>313</v>
      </c>
      <c r="E188" s="36" t="s">
        <v>110</v>
      </c>
    </row>
    <row r="189" ht="15.75" customHeight="1">
      <c r="A189" s="37" t="s">
        <v>308</v>
      </c>
      <c r="B189" s="37" t="s">
        <v>314</v>
      </c>
      <c r="E189" s="36" t="s">
        <v>110</v>
      </c>
    </row>
    <row r="190" ht="15.75" customHeight="1">
      <c r="A190" s="37" t="s">
        <v>315</v>
      </c>
      <c r="B190" s="37" t="s">
        <v>316</v>
      </c>
      <c r="E190" s="36" t="s">
        <v>110</v>
      </c>
    </row>
    <row r="191" ht="15.75" customHeight="1">
      <c r="A191" s="37" t="s">
        <v>315</v>
      </c>
      <c r="B191" s="37" t="s">
        <v>317</v>
      </c>
      <c r="E191" s="36" t="s">
        <v>110</v>
      </c>
    </row>
    <row r="192" ht="15.75" customHeight="1">
      <c r="A192" s="37" t="s">
        <v>315</v>
      </c>
      <c r="B192" s="37" t="s">
        <v>318</v>
      </c>
      <c r="E192" s="36" t="s">
        <v>110</v>
      </c>
    </row>
    <row r="193" ht="15.75" customHeight="1">
      <c r="A193" s="37" t="s">
        <v>315</v>
      </c>
      <c r="B193" s="37" t="s">
        <v>271</v>
      </c>
      <c r="E193" s="36" t="s">
        <v>110</v>
      </c>
    </row>
    <row r="194" ht="15.75" customHeight="1">
      <c r="A194" s="37" t="s">
        <v>319</v>
      </c>
      <c r="B194" s="37" t="s">
        <v>320</v>
      </c>
      <c r="E194" s="36" t="s">
        <v>110</v>
      </c>
    </row>
    <row r="195" ht="15.75" customHeight="1">
      <c r="A195" s="37" t="s">
        <v>321</v>
      </c>
      <c r="B195" s="37" t="s">
        <v>322</v>
      </c>
      <c r="E195" s="36" t="s">
        <v>110</v>
      </c>
    </row>
    <row r="196" ht="15.75" customHeight="1">
      <c r="A196" s="37" t="s">
        <v>323</v>
      </c>
      <c r="B196" s="37" t="s">
        <v>324</v>
      </c>
      <c r="E196" s="36" t="s">
        <v>110</v>
      </c>
    </row>
    <row r="197" ht="15.75" customHeight="1">
      <c r="A197" s="37" t="s">
        <v>323</v>
      </c>
      <c r="B197" s="37" t="s">
        <v>325</v>
      </c>
      <c r="E197" s="36" t="s">
        <v>110</v>
      </c>
    </row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356">
    <filterColumn colId="4">
      <filters>
        <filter val="Create"/>
      </filters>
    </filterColumn>
    <sortState ref="A1:Z356">
      <sortCondition ref="A1:A356"/>
    </sortState>
  </autoFilter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30.43"/>
  </cols>
  <sheetData>
    <row r="1">
      <c r="A1" s="37" t="s">
        <v>326</v>
      </c>
      <c r="B1" s="37" t="s">
        <v>13</v>
      </c>
      <c r="C1" s="37" t="s">
        <v>103</v>
      </c>
    </row>
    <row r="2">
      <c r="A2" s="37" t="s">
        <v>104</v>
      </c>
      <c r="B2" s="37" t="s">
        <v>105</v>
      </c>
      <c r="C2" s="36" t="s">
        <v>106</v>
      </c>
    </row>
    <row r="3">
      <c r="A3" s="37" t="s">
        <v>104</v>
      </c>
      <c r="B3" s="37" t="s">
        <v>107</v>
      </c>
      <c r="C3" s="36" t="s">
        <v>106</v>
      </c>
    </row>
    <row r="4">
      <c r="A4" s="37" t="s">
        <v>104</v>
      </c>
      <c r="B4" s="37" t="s">
        <v>108</v>
      </c>
      <c r="C4" s="36" t="s">
        <v>106</v>
      </c>
    </row>
    <row r="5">
      <c r="A5" s="37" t="s">
        <v>104</v>
      </c>
      <c r="B5" s="37" t="s">
        <v>109</v>
      </c>
      <c r="C5" s="36" t="s">
        <v>106</v>
      </c>
    </row>
    <row r="6">
      <c r="A6" s="37" t="s">
        <v>274</v>
      </c>
      <c r="B6" s="37" t="s">
        <v>275</v>
      </c>
      <c r="C6" s="36" t="s">
        <v>110</v>
      </c>
    </row>
    <row r="7">
      <c r="A7" s="37" t="s">
        <v>62</v>
      </c>
      <c r="B7" s="37" t="s">
        <v>63</v>
      </c>
      <c r="C7" s="36" t="s">
        <v>110</v>
      </c>
    </row>
    <row r="8">
      <c r="A8" s="37" t="s">
        <v>111</v>
      </c>
      <c r="B8" s="37" t="s">
        <v>112</v>
      </c>
      <c r="C8" s="36" t="s">
        <v>113</v>
      </c>
    </row>
    <row r="9">
      <c r="A9" s="37" t="s">
        <v>114</v>
      </c>
      <c r="B9" s="37" t="s">
        <v>115</v>
      </c>
      <c r="C9" s="36" t="s">
        <v>113</v>
      </c>
    </row>
    <row r="10">
      <c r="A10" s="37" t="s">
        <v>116</v>
      </c>
      <c r="B10" s="37" t="s">
        <v>117</v>
      </c>
      <c r="C10" s="36" t="s">
        <v>113</v>
      </c>
    </row>
    <row r="11">
      <c r="A11" s="37" t="s">
        <v>118</v>
      </c>
      <c r="B11" s="37" t="s">
        <v>119</v>
      </c>
      <c r="C11" s="36" t="s">
        <v>113</v>
      </c>
    </row>
    <row r="12">
      <c r="A12" s="37" t="s">
        <v>118</v>
      </c>
      <c r="B12" s="37" t="s">
        <v>120</v>
      </c>
      <c r="C12" s="36" t="s">
        <v>113</v>
      </c>
    </row>
    <row r="13">
      <c r="A13" s="37" t="s">
        <v>93</v>
      </c>
      <c r="B13" s="37" t="s">
        <v>94</v>
      </c>
      <c r="C13" s="36" t="s">
        <v>110</v>
      </c>
    </row>
    <row r="14">
      <c r="A14" s="37" t="s">
        <v>121</v>
      </c>
      <c r="B14" s="37" t="s">
        <v>122</v>
      </c>
      <c r="C14" s="36" t="s">
        <v>113</v>
      </c>
    </row>
    <row r="15">
      <c r="A15" s="37" t="s">
        <v>267</v>
      </c>
      <c r="B15" s="37" t="s">
        <v>268</v>
      </c>
      <c r="C15" s="36" t="s">
        <v>110</v>
      </c>
    </row>
    <row r="16">
      <c r="A16" s="37" t="s">
        <v>67</v>
      </c>
      <c r="B16" s="37" t="s">
        <v>68</v>
      </c>
      <c r="C16" s="36" t="s">
        <v>110</v>
      </c>
    </row>
    <row r="17">
      <c r="A17" s="37" t="s">
        <v>154</v>
      </c>
      <c r="B17" s="37" t="s">
        <v>102</v>
      </c>
      <c r="C17" s="36" t="s">
        <v>110</v>
      </c>
    </row>
    <row r="18">
      <c r="A18" s="37" t="s">
        <v>174</v>
      </c>
      <c r="B18" s="37" t="s">
        <v>175</v>
      </c>
      <c r="C18" s="36" t="s">
        <v>110</v>
      </c>
    </row>
    <row r="19">
      <c r="A19" s="37" t="s">
        <v>308</v>
      </c>
      <c r="B19" s="37" t="s">
        <v>309</v>
      </c>
      <c r="C19" s="36" t="s">
        <v>110</v>
      </c>
    </row>
    <row r="20">
      <c r="A20" s="37" t="s">
        <v>308</v>
      </c>
      <c r="B20" s="37" t="s">
        <v>310</v>
      </c>
      <c r="C20" s="36" t="s">
        <v>110</v>
      </c>
    </row>
    <row r="21">
      <c r="A21" s="37" t="s">
        <v>88</v>
      </c>
      <c r="B21" s="37" t="s">
        <v>89</v>
      </c>
      <c r="C21" s="36" t="s">
        <v>110</v>
      </c>
    </row>
    <row r="22">
      <c r="A22" s="37" t="s">
        <v>293</v>
      </c>
      <c r="B22" s="37" t="s">
        <v>294</v>
      </c>
      <c r="C22" s="36" t="s">
        <v>110</v>
      </c>
    </row>
    <row r="23">
      <c r="A23" s="37" t="s">
        <v>93</v>
      </c>
      <c r="B23" s="37" t="s">
        <v>95</v>
      </c>
      <c r="C23" s="36" t="s">
        <v>110</v>
      </c>
    </row>
    <row r="24">
      <c r="A24" s="37" t="s">
        <v>166</v>
      </c>
      <c r="B24" s="37" t="s">
        <v>167</v>
      </c>
      <c r="C24" s="36" t="s">
        <v>110</v>
      </c>
    </row>
    <row r="25">
      <c r="A25" s="37" t="s">
        <v>93</v>
      </c>
      <c r="B25" s="37" t="s">
        <v>96</v>
      </c>
      <c r="C25" s="36" t="s">
        <v>110</v>
      </c>
    </row>
    <row r="26">
      <c r="A26" s="37" t="s">
        <v>293</v>
      </c>
      <c r="B26" s="37" t="s">
        <v>295</v>
      </c>
      <c r="C26" s="36" t="s">
        <v>110</v>
      </c>
    </row>
    <row r="27">
      <c r="A27" s="37" t="s">
        <v>274</v>
      </c>
      <c r="B27" s="37" t="s">
        <v>276</v>
      </c>
      <c r="C27" s="36" t="s">
        <v>110</v>
      </c>
    </row>
    <row r="28">
      <c r="A28" s="37" t="s">
        <v>274</v>
      </c>
      <c r="B28" s="37" t="s">
        <v>277</v>
      </c>
      <c r="C28" s="36" t="s">
        <v>110</v>
      </c>
    </row>
    <row r="29">
      <c r="A29" s="37" t="s">
        <v>315</v>
      </c>
      <c r="B29" s="37" t="s">
        <v>316</v>
      </c>
      <c r="C29" s="36" t="s">
        <v>110</v>
      </c>
    </row>
    <row r="30">
      <c r="A30" s="37" t="s">
        <v>293</v>
      </c>
      <c r="B30" s="37" t="s">
        <v>296</v>
      </c>
      <c r="C30" s="36" t="s">
        <v>110</v>
      </c>
    </row>
    <row r="31">
      <c r="A31" s="37" t="s">
        <v>67</v>
      </c>
      <c r="B31" s="37" t="s">
        <v>72</v>
      </c>
      <c r="C31" s="36" t="s">
        <v>110</v>
      </c>
    </row>
    <row r="32">
      <c r="A32" s="37" t="s">
        <v>259</v>
      </c>
      <c r="B32" s="37" t="s">
        <v>260</v>
      </c>
      <c r="C32" s="36" t="s">
        <v>110</v>
      </c>
    </row>
    <row r="33">
      <c r="A33" s="37" t="s">
        <v>308</v>
      </c>
      <c r="B33" s="37" t="s">
        <v>311</v>
      </c>
      <c r="C33" s="36" t="s">
        <v>110</v>
      </c>
    </row>
    <row r="34">
      <c r="A34" s="37" t="s">
        <v>67</v>
      </c>
      <c r="B34" s="37" t="s">
        <v>74</v>
      </c>
      <c r="C34" s="36" t="s">
        <v>110</v>
      </c>
    </row>
    <row r="35">
      <c r="A35" s="37" t="s">
        <v>67</v>
      </c>
      <c r="B35" s="37" t="s">
        <v>75</v>
      </c>
      <c r="C35" s="36" t="s">
        <v>110</v>
      </c>
    </row>
    <row r="36">
      <c r="A36" s="37" t="s">
        <v>267</v>
      </c>
      <c r="B36" s="37" t="s">
        <v>269</v>
      </c>
      <c r="C36" s="36" t="s">
        <v>110</v>
      </c>
    </row>
    <row r="37">
      <c r="A37" s="37" t="s">
        <v>114</v>
      </c>
      <c r="B37" s="37" t="s">
        <v>134</v>
      </c>
      <c r="C37" s="36" t="s">
        <v>113</v>
      </c>
    </row>
    <row r="38">
      <c r="A38" s="37" t="s">
        <v>152</v>
      </c>
      <c r="B38" s="37" t="s">
        <v>153</v>
      </c>
      <c r="C38" s="36" t="s">
        <v>110</v>
      </c>
    </row>
    <row r="39">
      <c r="A39" s="37" t="s">
        <v>166</v>
      </c>
      <c r="B39" s="37" t="s">
        <v>168</v>
      </c>
      <c r="C39" s="36" t="s">
        <v>110</v>
      </c>
    </row>
    <row r="40">
      <c r="A40" s="37" t="s">
        <v>267</v>
      </c>
      <c r="B40" s="37" t="s">
        <v>270</v>
      </c>
      <c r="C40" s="36" t="s">
        <v>110</v>
      </c>
    </row>
    <row r="41">
      <c r="A41" s="37" t="s">
        <v>147</v>
      </c>
      <c r="B41" s="37" t="s">
        <v>148</v>
      </c>
      <c r="C41" s="36" t="s">
        <v>110</v>
      </c>
    </row>
    <row r="42">
      <c r="A42" s="37" t="s">
        <v>293</v>
      </c>
      <c r="B42" s="37" t="s">
        <v>297</v>
      </c>
      <c r="C42" s="36" t="s">
        <v>110</v>
      </c>
    </row>
    <row r="43">
      <c r="A43" s="37" t="s">
        <v>171</v>
      </c>
      <c r="B43" s="37" t="s">
        <v>172</v>
      </c>
      <c r="C43" s="36" t="s">
        <v>110</v>
      </c>
    </row>
    <row r="44">
      <c r="A44" s="37" t="s">
        <v>144</v>
      </c>
      <c r="B44" s="37" t="s">
        <v>145</v>
      </c>
      <c r="C44" s="36" t="s">
        <v>110</v>
      </c>
    </row>
    <row r="45">
      <c r="A45" s="37" t="s">
        <v>315</v>
      </c>
      <c r="B45" s="37" t="s">
        <v>317</v>
      </c>
      <c r="C45" s="36" t="s">
        <v>110</v>
      </c>
    </row>
    <row r="46">
      <c r="A46" s="37" t="s">
        <v>308</v>
      </c>
      <c r="B46" s="37" t="s">
        <v>145</v>
      </c>
      <c r="C46" s="36" t="s">
        <v>110</v>
      </c>
    </row>
    <row r="47">
      <c r="A47" s="37" t="s">
        <v>147</v>
      </c>
      <c r="B47" s="37" t="s">
        <v>149</v>
      </c>
      <c r="C47" s="36" t="s">
        <v>110</v>
      </c>
    </row>
    <row r="48">
      <c r="A48" s="37" t="s">
        <v>154</v>
      </c>
      <c r="B48" s="37" t="s">
        <v>155</v>
      </c>
      <c r="C48" s="36" t="s">
        <v>110</v>
      </c>
    </row>
    <row r="49">
      <c r="A49" s="37" t="s">
        <v>147</v>
      </c>
      <c r="B49" s="37" t="s">
        <v>150</v>
      </c>
      <c r="C49" s="36" t="s">
        <v>110</v>
      </c>
    </row>
    <row r="50">
      <c r="A50" s="37" t="s">
        <v>323</v>
      </c>
      <c r="B50" s="37" t="s">
        <v>324</v>
      </c>
      <c r="C50" s="36" t="s">
        <v>110</v>
      </c>
    </row>
    <row r="51">
      <c r="A51" s="37" t="s">
        <v>264</v>
      </c>
      <c r="B51" s="37" t="s">
        <v>265</v>
      </c>
      <c r="C51" s="36" t="s">
        <v>110</v>
      </c>
    </row>
    <row r="52">
      <c r="A52" s="37" t="s">
        <v>236</v>
      </c>
      <c r="B52" s="37" t="s">
        <v>237</v>
      </c>
      <c r="C52" s="36" t="s">
        <v>110</v>
      </c>
    </row>
    <row r="53">
      <c r="A53" s="37" t="s">
        <v>274</v>
      </c>
      <c r="B53" s="37" t="s">
        <v>278</v>
      </c>
      <c r="C53" s="36" t="s">
        <v>110</v>
      </c>
    </row>
    <row r="54">
      <c r="A54" s="37" t="s">
        <v>293</v>
      </c>
      <c r="B54" s="37" t="s">
        <v>298</v>
      </c>
      <c r="C54" s="36" t="s">
        <v>110</v>
      </c>
    </row>
    <row r="55">
      <c r="A55" s="37" t="s">
        <v>93</v>
      </c>
      <c r="B55" s="37" t="s">
        <v>97</v>
      </c>
      <c r="C55" s="36" t="s">
        <v>110</v>
      </c>
    </row>
    <row r="56">
      <c r="A56" s="37" t="s">
        <v>132</v>
      </c>
      <c r="B56" s="37" t="s">
        <v>133</v>
      </c>
      <c r="C56" s="36" t="s">
        <v>110</v>
      </c>
    </row>
    <row r="57">
      <c r="A57" s="37" t="s">
        <v>88</v>
      </c>
      <c r="B57" s="37" t="s">
        <v>91</v>
      </c>
      <c r="C57" s="36" t="s">
        <v>110</v>
      </c>
    </row>
    <row r="58">
      <c r="A58" s="37" t="s">
        <v>185</v>
      </c>
      <c r="B58" s="37" t="s">
        <v>186</v>
      </c>
      <c r="C58" s="36" t="s">
        <v>110</v>
      </c>
    </row>
    <row r="59">
      <c r="A59" s="37" t="s">
        <v>67</v>
      </c>
      <c r="B59" s="37" t="s">
        <v>76</v>
      </c>
      <c r="C59" s="36" t="s">
        <v>110</v>
      </c>
    </row>
    <row r="60">
      <c r="A60" s="37" t="s">
        <v>308</v>
      </c>
      <c r="B60" s="37" t="s">
        <v>312</v>
      </c>
      <c r="C60" s="36" t="s">
        <v>110</v>
      </c>
    </row>
    <row r="61">
      <c r="A61" s="37" t="s">
        <v>259</v>
      </c>
      <c r="B61" s="37" t="s">
        <v>261</v>
      </c>
      <c r="C61" s="36" t="s">
        <v>110</v>
      </c>
    </row>
    <row r="62">
      <c r="A62" s="37" t="s">
        <v>132</v>
      </c>
      <c r="B62" s="37" t="s">
        <v>135</v>
      </c>
      <c r="C62" s="36" t="s">
        <v>110</v>
      </c>
    </row>
    <row r="63">
      <c r="A63" s="37" t="s">
        <v>185</v>
      </c>
      <c r="B63" s="37" t="s">
        <v>187</v>
      </c>
      <c r="C63" s="36" t="s">
        <v>110</v>
      </c>
    </row>
    <row r="64">
      <c r="A64" s="37" t="s">
        <v>185</v>
      </c>
      <c r="B64" s="37" t="s">
        <v>190</v>
      </c>
      <c r="C64" s="36" t="s">
        <v>110</v>
      </c>
    </row>
    <row r="65">
      <c r="A65" s="37" t="s">
        <v>67</v>
      </c>
      <c r="B65" s="37" t="s">
        <v>77</v>
      </c>
      <c r="C65" s="36" t="s">
        <v>110</v>
      </c>
    </row>
    <row r="66">
      <c r="A66" s="37" t="s">
        <v>132</v>
      </c>
      <c r="B66" s="37" t="s">
        <v>136</v>
      </c>
      <c r="C66" s="36" t="s">
        <v>110</v>
      </c>
    </row>
    <row r="67">
      <c r="A67" s="37" t="s">
        <v>293</v>
      </c>
      <c r="B67" s="37" t="s">
        <v>299</v>
      </c>
      <c r="C67" s="36" t="s">
        <v>110</v>
      </c>
    </row>
    <row r="68">
      <c r="A68" s="37" t="s">
        <v>93</v>
      </c>
      <c r="B68" s="37" t="s">
        <v>98</v>
      </c>
      <c r="C68" s="36" t="s">
        <v>110</v>
      </c>
    </row>
    <row r="69">
      <c r="A69" s="37" t="s">
        <v>293</v>
      </c>
      <c r="B69" s="37" t="s">
        <v>300</v>
      </c>
      <c r="C69" s="36" t="s">
        <v>110</v>
      </c>
    </row>
    <row r="70">
      <c r="A70" s="37" t="s">
        <v>293</v>
      </c>
      <c r="B70" s="37" t="s">
        <v>301</v>
      </c>
      <c r="C70" s="36" t="s">
        <v>110</v>
      </c>
    </row>
    <row r="71">
      <c r="A71" s="37" t="s">
        <v>256</v>
      </c>
      <c r="B71" s="37" t="s">
        <v>257</v>
      </c>
      <c r="C71" s="36" t="s">
        <v>110</v>
      </c>
    </row>
    <row r="72">
      <c r="A72" s="37" t="s">
        <v>158</v>
      </c>
      <c r="B72" s="37" t="s">
        <v>159</v>
      </c>
      <c r="C72" s="36" t="s">
        <v>106</v>
      </c>
    </row>
    <row r="73">
      <c r="A73" s="37" t="s">
        <v>285</v>
      </c>
      <c r="B73" s="37" t="s">
        <v>286</v>
      </c>
      <c r="C73" s="36" t="s">
        <v>110</v>
      </c>
    </row>
    <row r="74">
      <c r="A74" s="37" t="s">
        <v>259</v>
      </c>
      <c r="B74" s="37" t="s">
        <v>262</v>
      </c>
      <c r="C74" s="36" t="s">
        <v>110</v>
      </c>
    </row>
    <row r="75">
      <c r="A75" s="37" t="s">
        <v>141</v>
      </c>
      <c r="B75" s="37" t="s">
        <v>142</v>
      </c>
      <c r="C75" s="36" t="s">
        <v>110</v>
      </c>
    </row>
    <row r="76">
      <c r="A76" s="37" t="s">
        <v>259</v>
      </c>
      <c r="B76" s="37" t="s">
        <v>263</v>
      </c>
      <c r="C76" s="36" t="s">
        <v>110</v>
      </c>
    </row>
    <row r="77">
      <c r="A77" s="37" t="s">
        <v>114</v>
      </c>
      <c r="B77" s="37" t="s">
        <v>161</v>
      </c>
      <c r="C77" s="36" t="s">
        <v>113</v>
      </c>
    </row>
    <row r="78">
      <c r="A78" s="37" t="s">
        <v>162</v>
      </c>
      <c r="B78" s="37" t="s">
        <v>163</v>
      </c>
      <c r="C78" s="36" t="s">
        <v>110</v>
      </c>
    </row>
    <row r="79">
      <c r="A79" s="37" t="s">
        <v>128</v>
      </c>
      <c r="B79" s="37" t="s">
        <v>129</v>
      </c>
      <c r="C79" s="36" t="s">
        <v>110</v>
      </c>
    </row>
    <row r="80">
      <c r="A80" s="37" t="s">
        <v>293</v>
      </c>
      <c r="B80" s="37" t="s">
        <v>302</v>
      </c>
      <c r="C80" s="36" t="s">
        <v>110</v>
      </c>
    </row>
    <row r="81">
      <c r="A81" s="37" t="s">
        <v>162</v>
      </c>
      <c r="B81" s="37" t="s">
        <v>164</v>
      </c>
      <c r="C81" s="36" t="s">
        <v>110</v>
      </c>
    </row>
    <row r="82">
      <c r="A82" s="37" t="s">
        <v>293</v>
      </c>
      <c r="B82" s="37" t="s">
        <v>303</v>
      </c>
      <c r="C82" s="36" t="s">
        <v>110</v>
      </c>
    </row>
    <row r="83">
      <c r="A83" s="37" t="s">
        <v>293</v>
      </c>
      <c r="B83" s="37" t="s">
        <v>304</v>
      </c>
      <c r="C83" s="36" t="s">
        <v>110</v>
      </c>
    </row>
    <row r="84">
      <c r="A84" s="37" t="s">
        <v>93</v>
      </c>
      <c r="B84" s="37" t="s">
        <v>99</v>
      </c>
      <c r="C84" s="36" t="s">
        <v>110</v>
      </c>
    </row>
    <row r="85">
      <c r="A85" s="37" t="s">
        <v>174</v>
      </c>
      <c r="B85" s="37" t="s">
        <v>145</v>
      </c>
      <c r="C85" s="36" t="s">
        <v>110</v>
      </c>
    </row>
    <row r="86">
      <c r="A86" s="37" t="s">
        <v>264</v>
      </c>
      <c r="B86" s="37" t="s">
        <v>266</v>
      </c>
      <c r="C86" s="36" t="s">
        <v>110</v>
      </c>
    </row>
    <row r="87">
      <c r="A87" s="37" t="s">
        <v>132</v>
      </c>
      <c r="B87" s="37" t="s">
        <v>137</v>
      </c>
      <c r="C87" s="36" t="s">
        <v>110</v>
      </c>
    </row>
    <row r="88">
      <c r="A88" s="37" t="s">
        <v>236</v>
      </c>
      <c r="B88" s="37" t="s">
        <v>238</v>
      </c>
      <c r="C88" s="36" t="s">
        <v>110</v>
      </c>
    </row>
    <row r="89">
      <c r="A89" s="37" t="s">
        <v>67</v>
      </c>
      <c r="B89" s="37" t="s">
        <v>78</v>
      </c>
      <c r="C89" s="36" t="s">
        <v>110</v>
      </c>
    </row>
    <row r="90">
      <c r="A90" s="37" t="s">
        <v>132</v>
      </c>
      <c r="B90" s="37" t="s">
        <v>138</v>
      </c>
      <c r="C90" s="36" t="s">
        <v>110</v>
      </c>
    </row>
    <row r="91">
      <c r="A91" s="37" t="s">
        <v>162</v>
      </c>
      <c r="B91" s="37" t="s">
        <v>165</v>
      </c>
      <c r="C91" s="36" t="s">
        <v>110</v>
      </c>
    </row>
    <row r="92">
      <c r="A92" s="37" t="s">
        <v>158</v>
      </c>
      <c r="B92" s="37" t="s">
        <v>170</v>
      </c>
      <c r="C92" s="36" t="s">
        <v>106</v>
      </c>
    </row>
    <row r="93">
      <c r="A93" s="37" t="s">
        <v>128</v>
      </c>
      <c r="B93" s="37" t="s">
        <v>130</v>
      </c>
      <c r="C93" s="36" t="s">
        <v>110</v>
      </c>
    </row>
    <row r="94">
      <c r="A94" s="37" t="s">
        <v>180</v>
      </c>
      <c r="B94" s="37" t="s">
        <v>145</v>
      </c>
      <c r="C94" s="36" t="s">
        <v>110</v>
      </c>
    </row>
    <row r="95">
      <c r="A95" s="37" t="s">
        <v>93</v>
      </c>
      <c r="B95" s="37" t="s">
        <v>100</v>
      </c>
      <c r="C95" s="36" t="s">
        <v>110</v>
      </c>
    </row>
    <row r="96">
      <c r="A96" s="37" t="s">
        <v>141</v>
      </c>
      <c r="B96" s="37" t="s">
        <v>143</v>
      </c>
      <c r="C96" s="36" t="s">
        <v>110</v>
      </c>
    </row>
    <row r="97">
      <c r="A97" s="37" t="s">
        <v>125</v>
      </c>
      <c r="B97" s="37" t="s">
        <v>126</v>
      </c>
      <c r="C97" s="36" t="s">
        <v>110</v>
      </c>
    </row>
    <row r="98">
      <c r="A98" s="37" t="s">
        <v>274</v>
      </c>
      <c r="B98" s="37" t="s">
        <v>279</v>
      </c>
      <c r="C98" s="36" t="s">
        <v>110</v>
      </c>
    </row>
    <row r="99">
      <c r="A99" s="37" t="s">
        <v>274</v>
      </c>
      <c r="B99" s="37" t="s">
        <v>280</v>
      </c>
      <c r="C99" s="36" t="s">
        <v>110</v>
      </c>
    </row>
    <row r="100">
      <c r="A100" s="37" t="s">
        <v>274</v>
      </c>
      <c r="B100" s="37" t="s">
        <v>281</v>
      </c>
      <c r="C100" s="36" t="s">
        <v>110</v>
      </c>
    </row>
    <row r="101">
      <c r="A101" s="37" t="s">
        <v>293</v>
      </c>
      <c r="B101" s="37" t="s">
        <v>305</v>
      </c>
      <c r="C101" s="36" t="s">
        <v>110</v>
      </c>
    </row>
    <row r="102">
      <c r="A102" s="37" t="s">
        <v>51</v>
      </c>
      <c r="B102" s="37" t="s">
        <v>52</v>
      </c>
      <c r="C102" s="36" t="s">
        <v>110</v>
      </c>
    </row>
    <row r="103">
      <c r="A103" s="37" t="s">
        <v>315</v>
      </c>
      <c r="B103" s="37" t="s">
        <v>318</v>
      </c>
      <c r="C103" s="36" t="s">
        <v>110</v>
      </c>
    </row>
    <row r="104">
      <c r="A104" s="37" t="s">
        <v>67</v>
      </c>
      <c r="B104" s="37" t="s">
        <v>79</v>
      </c>
      <c r="C104" s="36" t="s">
        <v>110</v>
      </c>
    </row>
    <row r="105">
      <c r="A105" s="37" t="s">
        <v>323</v>
      </c>
      <c r="B105" s="37" t="s">
        <v>325</v>
      </c>
      <c r="C105" s="36" t="s">
        <v>110</v>
      </c>
    </row>
    <row r="106">
      <c r="A106" s="37" t="s">
        <v>147</v>
      </c>
      <c r="B106" s="37" t="s">
        <v>151</v>
      </c>
      <c r="C106" s="36" t="s">
        <v>110</v>
      </c>
    </row>
    <row r="107">
      <c r="A107" s="37" t="s">
        <v>125</v>
      </c>
      <c r="B107" s="37" t="s">
        <v>127</v>
      </c>
      <c r="C107" s="36" t="s">
        <v>110</v>
      </c>
    </row>
    <row r="108">
      <c r="A108" s="37" t="s">
        <v>93</v>
      </c>
      <c r="B108" s="37" t="s">
        <v>101</v>
      </c>
      <c r="C108" s="36" t="s">
        <v>110</v>
      </c>
    </row>
    <row r="109">
      <c r="A109" s="37" t="s">
        <v>293</v>
      </c>
      <c r="B109" s="37" t="s">
        <v>306</v>
      </c>
      <c r="C109" s="36" t="s">
        <v>110</v>
      </c>
    </row>
    <row r="110">
      <c r="A110" s="37" t="s">
        <v>104</v>
      </c>
      <c r="B110" s="37" t="s">
        <v>173</v>
      </c>
      <c r="C110" s="36" t="s">
        <v>106</v>
      </c>
    </row>
    <row r="111">
      <c r="A111" s="37" t="s">
        <v>132</v>
      </c>
      <c r="B111" s="37" t="s">
        <v>139</v>
      </c>
      <c r="C111" s="36" t="s">
        <v>110</v>
      </c>
    </row>
    <row r="112">
      <c r="A112" s="37" t="s">
        <v>51</v>
      </c>
      <c r="B112" s="37" t="s">
        <v>55</v>
      </c>
      <c r="C112" s="36" t="s">
        <v>110</v>
      </c>
    </row>
    <row r="113">
      <c r="A113" s="37" t="s">
        <v>51</v>
      </c>
      <c r="B113" s="37" t="s">
        <v>57</v>
      </c>
      <c r="C113" s="36" t="s">
        <v>110</v>
      </c>
    </row>
    <row r="114">
      <c r="A114" s="37" t="s">
        <v>51</v>
      </c>
      <c r="B114" s="37" t="s">
        <v>58</v>
      </c>
      <c r="C114" s="36" t="s">
        <v>110</v>
      </c>
    </row>
    <row r="115">
      <c r="A115" s="37" t="s">
        <v>51</v>
      </c>
      <c r="B115" s="37" t="s">
        <v>59</v>
      </c>
      <c r="C115" s="36" t="s">
        <v>110</v>
      </c>
    </row>
    <row r="116">
      <c r="A116" s="37" t="s">
        <v>154</v>
      </c>
      <c r="B116" s="37" t="s">
        <v>156</v>
      </c>
      <c r="C116" s="36" t="s">
        <v>110</v>
      </c>
    </row>
    <row r="117">
      <c r="A117" s="37" t="s">
        <v>154</v>
      </c>
      <c r="B117" s="37" t="s">
        <v>157</v>
      </c>
      <c r="C117" s="36" t="s">
        <v>110</v>
      </c>
    </row>
    <row r="118">
      <c r="A118" s="37" t="s">
        <v>88</v>
      </c>
      <c r="B118" s="37" t="s">
        <v>92</v>
      </c>
      <c r="C118" s="36" t="s">
        <v>110</v>
      </c>
    </row>
    <row r="119">
      <c r="A119" s="37" t="s">
        <v>180</v>
      </c>
      <c r="B119" s="37" t="s">
        <v>102</v>
      </c>
      <c r="C119" s="36" t="s">
        <v>110</v>
      </c>
    </row>
    <row r="120">
      <c r="A120" s="37" t="s">
        <v>67</v>
      </c>
      <c r="B120" s="37" t="s">
        <v>80</v>
      </c>
      <c r="C120" s="36" t="s">
        <v>110</v>
      </c>
    </row>
    <row r="121">
      <c r="A121" s="37" t="s">
        <v>114</v>
      </c>
      <c r="B121" s="37" t="s">
        <v>179</v>
      </c>
      <c r="C121" s="36" t="s">
        <v>113</v>
      </c>
    </row>
    <row r="122">
      <c r="A122" s="37" t="s">
        <v>62</v>
      </c>
      <c r="B122" s="37" t="s">
        <v>64</v>
      </c>
      <c r="C122" s="36" t="s">
        <v>110</v>
      </c>
    </row>
    <row r="123">
      <c r="A123" s="37" t="s">
        <v>67</v>
      </c>
      <c r="B123" s="37" t="s">
        <v>81</v>
      </c>
      <c r="C123" s="36" t="s">
        <v>110</v>
      </c>
    </row>
    <row r="124">
      <c r="A124" s="37" t="s">
        <v>93</v>
      </c>
      <c r="B124" s="37" t="s">
        <v>102</v>
      </c>
      <c r="C124" s="36" t="s">
        <v>110</v>
      </c>
    </row>
    <row r="125">
      <c r="A125" s="37" t="s">
        <v>154</v>
      </c>
      <c r="B125" s="37" t="s">
        <v>160</v>
      </c>
      <c r="C125" s="36" t="s">
        <v>110</v>
      </c>
    </row>
    <row r="126">
      <c r="A126" s="37" t="s">
        <v>181</v>
      </c>
      <c r="B126" s="37" t="s">
        <v>182</v>
      </c>
      <c r="C126" s="36" t="s">
        <v>106</v>
      </c>
    </row>
    <row r="127">
      <c r="A127" s="37" t="s">
        <v>67</v>
      </c>
      <c r="B127" s="37" t="s">
        <v>82</v>
      </c>
      <c r="C127" s="36" t="s">
        <v>110</v>
      </c>
    </row>
    <row r="128">
      <c r="A128" s="37" t="s">
        <v>267</v>
      </c>
      <c r="B128" s="37" t="s">
        <v>271</v>
      </c>
      <c r="C128" s="36" t="s">
        <v>110</v>
      </c>
    </row>
    <row r="129">
      <c r="A129" s="37" t="s">
        <v>123</v>
      </c>
      <c r="B129" s="37" t="s">
        <v>124</v>
      </c>
      <c r="C129" s="36" t="s">
        <v>110</v>
      </c>
    </row>
    <row r="130">
      <c r="A130" s="37" t="s">
        <v>188</v>
      </c>
      <c r="B130" s="37" t="s">
        <v>189</v>
      </c>
      <c r="C130" s="36" t="s">
        <v>106</v>
      </c>
    </row>
    <row r="131">
      <c r="A131" s="37" t="s">
        <v>289</v>
      </c>
      <c r="B131" s="37" t="s">
        <v>290</v>
      </c>
      <c r="C131" s="36" t="s">
        <v>110</v>
      </c>
    </row>
    <row r="132">
      <c r="A132" s="37" t="s">
        <v>191</v>
      </c>
      <c r="B132" s="37" t="s">
        <v>192</v>
      </c>
      <c r="C132" s="36" t="s">
        <v>106</v>
      </c>
    </row>
    <row r="133">
      <c r="A133" s="37" t="s">
        <v>193</v>
      </c>
      <c r="B133" s="37" t="s">
        <v>194</v>
      </c>
      <c r="C133" s="36" t="s">
        <v>106</v>
      </c>
    </row>
    <row r="134">
      <c r="A134" s="37" t="s">
        <v>158</v>
      </c>
      <c r="B134" s="37" t="s">
        <v>195</v>
      </c>
      <c r="C134" s="36" t="s">
        <v>106</v>
      </c>
    </row>
    <row r="135">
      <c r="A135" s="37" t="s">
        <v>196</v>
      </c>
      <c r="B135" s="37" t="s">
        <v>197</v>
      </c>
      <c r="C135" s="36" t="s">
        <v>106</v>
      </c>
    </row>
    <row r="136">
      <c r="A136" s="37" t="s">
        <v>198</v>
      </c>
      <c r="B136" s="37" t="s">
        <v>199</v>
      </c>
      <c r="C136" s="36" t="s">
        <v>106</v>
      </c>
    </row>
    <row r="137">
      <c r="A137" s="37" t="s">
        <v>174</v>
      </c>
      <c r="B137" s="37" t="s">
        <v>176</v>
      </c>
      <c r="C137" s="36" t="s">
        <v>110</v>
      </c>
    </row>
    <row r="138">
      <c r="A138" s="37" t="s">
        <v>201</v>
      </c>
      <c r="B138" s="37" t="s">
        <v>202</v>
      </c>
      <c r="C138" s="36" t="s">
        <v>106</v>
      </c>
    </row>
    <row r="139">
      <c r="A139" s="37" t="s">
        <v>203</v>
      </c>
      <c r="B139" s="37" t="s">
        <v>204</v>
      </c>
      <c r="C139" s="36" t="s">
        <v>106</v>
      </c>
    </row>
    <row r="140">
      <c r="A140" s="37" t="s">
        <v>205</v>
      </c>
      <c r="B140" s="37" t="s">
        <v>206</v>
      </c>
      <c r="C140" s="36" t="s">
        <v>106</v>
      </c>
    </row>
    <row r="141">
      <c r="A141" s="37" t="s">
        <v>132</v>
      </c>
      <c r="B141" s="37" t="s">
        <v>140</v>
      </c>
      <c r="C141" s="36" t="s">
        <v>110</v>
      </c>
    </row>
    <row r="142">
      <c r="A142" s="37" t="s">
        <v>207</v>
      </c>
      <c r="B142" s="37" t="s">
        <v>208</v>
      </c>
      <c r="C142" s="36" t="s">
        <v>106</v>
      </c>
    </row>
    <row r="143">
      <c r="A143" s="37" t="s">
        <v>209</v>
      </c>
      <c r="B143" s="37" t="s">
        <v>210</v>
      </c>
      <c r="C143" s="36" t="s">
        <v>106</v>
      </c>
    </row>
    <row r="144">
      <c r="A144" s="37" t="s">
        <v>209</v>
      </c>
      <c r="B144" s="37" t="s">
        <v>211</v>
      </c>
      <c r="C144" s="36" t="s">
        <v>106</v>
      </c>
    </row>
    <row r="145">
      <c r="A145" s="37" t="s">
        <v>236</v>
      </c>
      <c r="B145" s="37" t="s">
        <v>240</v>
      </c>
      <c r="C145" s="36" t="s">
        <v>110</v>
      </c>
    </row>
    <row r="146">
      <c r="A146" s="37" t="s">
        <v>181</v>
      </c>
      <c r="B146" s="37" t="s">
        <v>212</v>
      </c>
      <c r="C146" s="36" t="s">
        <v>106</v>
      </c>
    </row>
    <row r="147">
      <c r="A147" s="37" t="s">
        <v>213</v>
      </c>
      <c r="B147" s="37" t="s">
        <v>214</v>
      </c>
      <c r="C147" s="36" t="s">
        <v>106</v>
      </c>
    </row>
    <row r="148">
      <c r="A148" s="37" t="s">
        <v>215</v>
      </c>
      <c r="B148" s="37" t="s">
        <v>216</v>
      </c>
      <c r="C148" s="36" t="s">
        <v>106</v>
      </c>
    </row>
    <row r="149">
      <c r="A149" s="37" t="s">
        <v>217</v>
      </c>
      <c r="B149" s="37" t="s">
        <v>218</v>
      </c>
      <c r="C149" s="36" t="s">
        <v>106</v>
      </c>
    </row>
    <row r="150">
      <c r="A150" s="37" t="s">
        <v>219</v>
      </c>
      <c r="B150" s="37" t="s">
        <v>220</v>
      </c>
      <c r="C150" s="36" t="s">
        <v>106</v>
      </c>
    </row>
    <row r="151">
      <c r="A151" s="37" t="s">
        <v>221</v>
      </c>
      <c r="B151" s="37" t="s">
        <v>222</v>
      </c>
      <c r="C151" s="36" t="s">
        <v>106</v>
      </c>
    </row>
    <row r="152">
      <c r="A152" s="37" t="s">
        <v>221</v>
      </c>
      <c r="B152" s="37" t="s">
        <v>223</v>
      </c>
      <c r="C152" s="36" t="s">
        <v>106</v>
      </c>
    </row>
    <row r="153">
      <c r="A153" s="37" t="s">
        <v>224</v>
      </c>
      <c r="B153" s="37" t="s">
        <v>225</v>
      </c>
      <c r="C153" s="36" t="s">
        <v>106</v>
      </c>
    </row>
    <row r="154">
      <c r="A154" s="37" t="s">
        <v>226</v>
      </c>
      <c r="B154" s="37" t="s">
        <v>227</v>
      </c>
      <c r="C154" s="36" t="s">
        <v>106</v>
      </c>
    </row>
    <row r="155">
      <c r="A155" s="37" t="s">
        <v>221</v>
      </c>
      <c r="B155" s="37" t="s">
        <v>228</v>
      </c>
      <c r="C155" s="36" t="s">
        <v>106</v>
      </c>
    </row>
    <row r="156">
      <c r="A156" s="37" t="s">
        <v>174</v>
      </c>
      <c r="B156" s="37" t="s">
        <v>177</v>
      </c>
      <c r="C156" s="36" t="s">
        <v>110</v>
      </c>
    </row>
    <row r="157">
      <c r="A157" s="37" t="s">
        <v>229</v>
      </c>
      <c r="B157" s="37" t="s">
        <v>230</v>
      </c>
      <c r="C157" s="36" t="s">
        <v>106</v>
      </c>
    </row>
    <row r="158">
      <c r="A158" s="37" t="s">
        <v>231</v>
      </c>
      <c r="B158" s="37" t="s">
        <v>232</v>
      </c>
      <c r="C158" s="36" t="s">
        <v>106</v>
      </c>
    </row>
    <row r="159">
      <c r="A159" s="37" t="s">
        <v>233</v>
      </c>
      <c r="B159" s="37" t="s">
        <v>234</v>
      </c>
      <c r="C159" s="36" t="s">
        <v>106</v>
      </c>
    </row>
    <row r="160">
      <c r="A160" s="37" t="s">
        <v>308</v>
      </c>
      <c r="B160" s="37" t="s">
        <v>313</v>
      </c>
      <c r="C160" s="36" t="s">
        <v>110</v>
      </c>
    </row>
    <row r="161">
      <c r="A161" s="37" t="s">
        <v>128</v>
      </c>
      <c r="B161" s="37" t="s">
        <v>131</v>
      </c>
      <c r="C161" s="36" t="s">
        <v>110</v>
      </c>
    </row>
    <row r="162">
      <c r="A162" s="37" t="s">
        <v>209</v>
      </c>
      <c r="B162" s="37" t="s">
        <v>235</v>
      </c>
      <c r="C162" s="36" t="s">
        <v>106</v>
      </c>
    </row>
    <row r="163">
      <c r="A163" s="37" t="s">
        <v>293</v>
      </c>
      <c r="B163" s="39" t="s">
        <v>307</v>
      </c>
      <c r="C163" s="36" t="s">
        <v>110</v>
      </c>
    </row>
    <row r="164">
      <c r="A164" s="37" t="s">
        <v>291</v>
      </c>
      <c r="B164" s="37" t="s">
        <v>292</v>
      </c>
      <c r="C164" s="36" t="s">
        <v>110</v>
      </c>
    </row>
    <row r="165">
      <c r="A165" s="37" t="s">
        <v>118</v>
      </c>
      <c r="B165" s="37" t="s">
        <v>239</v>
      </c>
      <c r="C165" s="36" t="s">
        <v>113</v>
      </c>
    </row>
    <row r="166">
      <c r="A166" s="37" t="s">
        <v>267</v>
      </c>
      <c r="B166" s="37" t="s">
        <v>272</v>
      </c>
      <c r="C166" s="36" t="s">
        <v>110</v>
      </c>
    </row>
    <row r="167">
      <c r="A167" s="37" t="s">
        <v>67</v>
      </c>
      <c r="B167" s="37" t="s">
        <v>83</v>
      </c>
      <c r="C167" s="36" t="s">
        <v>110</v>
      </c>
    </row>
    <row r="168">
      <c r="A168" s="37" t="s">
        <v>144</v>
      </c>
      <c r="B168" s="37" t="s">
        <v>146</v>
      </c>
      <c r="C168" s="36" t="s">
        <v>110</v>
      </c>
    </row>
    <row r="169">
      <c r="A169" s="37" t="s">
        <v>67</v>
      </c>
      <c r="B169" s="37" t="s">
        <v>84</v>
      </c>
      <c r="C169" s="36" t="s">
        <v>110</v>
      </c>
    </row>
    <row r="170">
      <c r="A170" s="37" t="s">
        <v>185</v>
      </c>
      <c r="B170" s="37" t="s">
        <v>200</v>
      </c>
      <c r="C170" s="36" t="s">
        <v>110</v>
      </c>
    </row>
    <row r="171">
      <c r="A171" s="37" t="s">
        <v>274</v>
      </c>
      <c r="B171" s="37" t="s">
        <v>282</v>
      </c>
      <c r="C171" s="36" t="s">
        <v>110</v>
      </c>
    </row>
    <row r="172">
      <c r="A172" s="37" t="s">
        <v>188</v>
      </c>
      <c r="B172" s="37" t="s">
        <v>243</v>
      </c>
      <c r="C172" s="36" t="s">
        <v>106</v>
      </c>
    </row>
    <row r="173">
      <c r="A173" s="37" t="s">
        <v>256</v>
      </c>
      <c r="B173" s="37" t="s">
        <v>258</v>
      </c>
      <c r="C173" s="36" t="s">
        <v>110</v>
      </c>
    </row>
    <row r="174">
      <c r="A174" s="37" t="s">
        <v>244</v>
      </c>
      <c r="B174" s="37" t="s">
        <v>245</v>
      </c>
      <c r="C174" s="36" t="s">
        <v>106</v>
      </c>
    </row>
    <row r="175">
      <c r="A175" s="37" t="s">
        <v>321</v>
      </c>
      <c r="B175" s="37" t="s">
        <v>322</v>
      </c>
      <c r="C175" s="36" t="s">
        <v>110</v>
      </c>
    </row>
    <row r="176">
      <c r="A176" s="37" t="s">
        <v>183</v>
      </c>
      <c r="B176" s="37" t="s">
        <v>184</v>
      </c>
      <c r="C176" s="36" t="s">
        <v>110</v>
      </c>
    </row>
    <row r="177">
      <c r="A177" s="37" t="s">
        <v>274</v>
      </c>
      <c r="B177" s="37" t="s">
        <v>283</v>
      </c>
      <c r="C177" s="36" t="s">
        <v>110</v>
      </c>
    </row>
    <row r="178">
      <c r="A178" s="37" t="s">
        <v>274</v>
      </c>
      <c r="B178" s="37" t="s">
        <v>284</v>
      </c>
      <c r="C178" s="36" t="s">
        <v>110</v>
      </c>
    </row>
    <row r="179">
      <c r="A179" s="37" t="s">
        <v>246</v>
      </c>
      <c r="B179" s="37" t="s">
        <v>247</v>
      </c>
      <c r="C179" s="36" t="s">
        <v>106</v>
      </c>
    </row>
    <row r="180">
      <c r="A180" s="37" t="s">
        <v>185</v>
      </c>
      <c r="B180" s="37" t="s">
        <v>133</v>
      </c>
      <c r="C180" s="36" t="s">
        <v>110</v>
      </c>
    </row>
    <row r="181">
      <c r="A181" s="37" t="s">
        <v>319</v>
      </c>
      <c r="B181" s="37" t="s">
        <v>320</v>
      </c>
      <c r="C181" s="36" t="s">
        <v>110</v>
      </c>
    </row>
    <row r="182">
      <c r="A182" s="37" t="s">
        <v>104</v>
      </c>
      <c r="B182" s="37" t="s">
        <v>248</v>
      </c>
      <c r="C182" s="36" t="s">
        <v>106</v>
      </c>
    </row>
    <row r="183">
      <c r="A183" s="37" t="s">
        <v>287</v>
      </c>
      <c r="B183" s="37" t="s">
        <v>288</v>
      </c>
      <c r="C183" s="37" t="s">
        <v>110</v>
      </c>
    </row>
    <row r="184">
      <c r="A184" s="37" t="s">
        <v>236</v>
      </c>
      <c r="B184" s="37" t="s">
        <v>241</v>
      </c>
      <c r="C184" s="36" t="s">
        <v>110</v>
      </c>
    </row>
    <row r="185">
      <c r="A185" s="37" t="s">
        <v>236</v>
      </c>
      <c r="B185" s="37" t="s">
        <v>242</v>
      </c>
      <c r="C185" s="36" t="s">
        <v>110</v>
      </c>
    </row>
    <row r="186">
      <c r="A186" s="37" t="s">
        <v>315</v>
      </c>
      <c r="B186" s="37" t="s">
        <v>271</v>
      </c>
      <c r="C186" s="36" t="s">
        <v>110</v>
      </c>
    </row>
    <row r="187">
      <c r="A187" s="37" t="s">
        <v>166</v>
      </c>
      <c r="B187" s="37" t="s">
        <v>169</v>
      </c>
      <c r="C187" s="36" t="s">
        <v>110</v>
      </c>
    </row>
    <row r="188">
      <c r="A188" s="37" t="s">
        <v>174</v>
      </c>
      <c r="B188" s="37" t="s">
        <v>178</v>
      </c>
      <c r="C188" s="36" t="s">
        <v>110</v>
      </c>
    </row>
    <row r="189">
      <c r="A189" s="37" t="s">
        <v>249</v>
      </c>
      <c r="B189" s="37" t="s">
        <v>250</v>
      </c>
      <c r="C189" s="36" t="s">
        <v>106</v>
      </c>
    </row>
    <row r="190">
      <c r="A190" s="37" t="s">
        <v>251</v>
      </c>
      <c r="B190" s="37" t="s">
        <v>252</v>
      </c>
      <c r="C190" s="37" t="s">
        <v>106</v>
      </c>
    </row>
    <row r="191">
      <c r="A191" s="37" t="s">
        <v>267</v>
      </c>
      <c r="B191" s="37" t="s">
        <v>273</v>
      </c>
      <c r="C191" s="36" t="s">
        <v>110</v>
      </c>
    </row>
    <row r="192">
      <c r="A192" s="37" t="s">
        <v>65</v>
      </c>
      <c r="B192" s="37" t="s">
        <v>66</v>
      </c>
      <c r="C192" s="36" t="s">
        <v>110</v>
      </c>
    </row>
    <row r="193">
      <c r="A193" s="37" t="s">
        <v>51</v>
      </c>
      <c r="B193" s="37" t="s">
        <v>60</v>
      </c>
      <c r="C193" s="36" t="s">
        <v>110</v>
      </c>
    </row>
    <row r="194">
      <c r="A194" s="37" t="s">
        <v>229</v>
      </c>
      <c r="B194" s="37" t="s">
        <v>253</v>
      </c>
      <c r="C194" s="36" t="s">
        <v>106</v>
      </c>
    </row>
    <row r="195">
      <c r="A195" s="37" t="s">
        <v>308</v>
      </c>
      <c r="B195" s="37" t="s">
        <v>314</v>
      </c>
      <c r="C195" s="36" t="s">
        <v>110</v>
      </c>
    </row>
    <row r="196">
      <c r="A196" s="37" t="s">
        <v>67</v>
      </c>
      <c r="B196" s="37" t="s">
        <v>85</v>
      </c>
      <c r="C196" s="36" t="s">
        <v>110</v>
      </c>
    </row>
    <row r="197">
      <c r="A197" s="37" t="s">
        <v>254</v>
      </c>
      <c r="B197" s="37" t="s">
        <v>255</v>
      </c>
      <c r="C197" s="37" t="s">
        <v>106</v>
      </c>
    </row>
    <row r="198">
      <c r="A198" s="37" t="s">
        <v>158</v>
      </c>
      <c r="B198" s="37" t="s">
        <v>159</v>
      </c>
      <c r="C198" s="36" t="s">
        <v>106</v>
      </c>
    </row>
    <row r="199">
      <c r="A199" s="37" t="s">
        <v>274</v>
      </c>
      <c r="B199" s="37" t="s">
        <v>278</v>
      </c>
      <c r="C199" s="36" t="s">
        <v>110</v>
      </c>
    </row>
    <row r="200">
      <c r="A200" s="37" t="s">
        <v>104</v>
      </c>
      <c r="B200" s="37" t="s">
        <v>107</v>
      </c>
      <c r="C200" s="36" t="s">
        <v>106</v>
      </c>
    </row>
    <row r="201">
      <c r="A201" s="37" t="s">
        <v>166</v>
      </c>
      <c r="B201" s="37" t="s">
        <v>168</v>
      </c>
      <c r="C201" s="36" t="s">
        <v>110</v>
      </c>
    </row>
    <row r="202">
      <c r="A202" s="37" t="s">
        <v>88</v>
      </c>
      <c r="B202" s="37" t="s">
        <v>89</v>
      </c>
      <c r="C202" s="36" t="s">
        <v>110</v>
      </c>
    </row>
    <row r="203">
      <c r="A203" s="37" t="s">
        <v>293</v>
      </c>
      <c r="B203" s="37" t="s">
        <v>305</v>
      </c>
      <c r="C203" s="36" t="s">
        <v>110</v>
      </c>
    </row>
    <row r="204">
      <c r="A204" s="37" t="s">
        <v>158</v>
      </c>
      <c r="B204" s="37" t="s">
        <v>170</v>
      </c>
      <c r="C204" s="36" t="s">
        <v>106</v>
      </c>
    </row>
    <row r="205">
      <c r="A205" s="37" t="s">
        <v>114</v>
      </c>
      <c r="B205" s="37" t="s">
        <v>115</v>
      </c>
      <c r="C205" s="36" t="s">
        <v>113</v>
      </c>
    </row>
    <row r="206">
      <c r="A206" s="37" t="s">
        <v>93</v>
      </c>
      <c r="B206" s="37" t="s">
        <v>94</v>
      </c>
      <c r="C206" s="36" t="s">
        <v>110</v>
      </c>
    </row>
    <row r="207">
      <c r="A207" s="37" t="s">
        <v>67</v>
      </c>
      <c r="B207" s="37" t="s">
        <v>74</v>
      </c>
      <c r="C207" s="36" t="s">
        <v>110</v>
      </c>
    </row>
    <row r="208">
      <c r="A208" s="37" t="s">
        <v>67</v>
      </c>
      <c r="B208" s="37" t="s">
        <v>75</v>
      </c>
      <c r="C208" s="36" t="s">
        <v>110</v>
      </c>
    </row>
    <row r="209">
      <c r="A209" s="37" t="s">
        <v>171</v>
      </c>
      <c r="B209" s="37" t="s">
        <v>172</v>
      </c>
      <c r="C209" s="36" t="s">
        <v>110</v>
      </c>
    </row>
    <row r="210">
      <c r="A210" s="37" t="s">
        <v>287</v>
      </c>
      <c r="B210" s="37" t="s">
        <v>288</v>
      </c>
      <c r="C210" s="37" t="s">
        <v>110</v>
      </c>
    </row>
    <row r="211">
      <c r="A211" s="37" t="s">
        <v>293</v>
      </c>
      <c r="B211" s="37" t="s">
        <v>297</v>
      </c>
      <c r="C211" s="36" t="s">
        <v>110</v>
      </c>
    </row>
    <row r="212">
      <c r="A212" s="37" t="s">
        <v>152</v>
      </c>
      <c r="B212" s="37" t="s">
        <v>153</v>
      </c>
      <c r="C212" s="36" t="s">
        <v>110</v>
      </c>
    </row>
    <row r="213">
      <c r="A213" s="37" t="s">
        <v>293</v>
      </c>
      <c r="B213" s="37" t="s">
        <v>298</v>
      </c>
      <c r="C213" s="36" t="s">
        <v>110</v>
      </c>
    </row>
    <row r="214">
      <c r="A214" s="37" t="s">
        <v>293</v>
      </c>
      <c r="B214" s="37" t="s">
        <v>299</v>
      </c>
      <c r="C214" s="36" t="s">
        <v>110</v>
      </c>
    </row>
    <row r="215">
      <c r="A215" s="37" t="s">
        <v>93</v>
      </c>
      <c r="B215" s="37" t="s">
        <v>95</v>
      </c>
      <c r="C215" s="36" t="s">
        <v>110</v>
      </c>
    </row>
    <row r="216">
      <c r="A216" s="37" t="s">
        <v>141</v>
      </c>
      <c r="B216" s="37" t="s">
        <v>143</v>
      </c>
      <c r="C216" s="36" t="s">
        <v>110</v>
      </c>
    </row>
    <row r="217">
      <c r="A217" s="37" t="s">
        <v>132</v>
      </c>
      <c r="B217" s="37" t="s">
        <v>137</v>
      </c>
      <c r="C217" s="36" t="s">
        <v>110</v>
      </c>
    </row>
    <row r="218">
      <c r="A218" s="37" t="s">
        <v>104</v>
      </c>
      <c r="B218" s="37" t="s">
        <v>109</v>
      </c>
      <c r="C218" s="36" t="s">
        <v>106</v>
      </c>
    </row>
    <row r="219">
      <c r="A219" s="37" t="s">
        <v>293</v>
      </c>
      <c r="B219" s="37" t="s">
        <v>296</v>
      </c>
      <c r="C219" s="36" t="s">
        <v>110</v>
      </c>
    </row>
    <row r="220">
      <c r="A220" s="37" t="s">
        <v>104</v>
      </c>
      <c r="B220" s="37" t="s">
        <v>108</v>
      </c>
      <c r="C220" s="36" t="s">
        <v>106</v>
      </c>
    </row>
    <row r="221">
      <c r="A221" s="37" t="s">
        <v>236</v>
      </c>
      <c r="B221" s="37" t="s">
        <v>237</v>
      </c>
      <c r="C221" s="36" t="s">
        <v>110</v>
      </c>
    </row>
    <row r="222">
      <c r="A222" s="37" t="s">
        <v>132</v>
      </c>
      <c r="B222" s="37" t="s">
        <v>135</v>
      </c>
      <c r="C222" s="36" t="s">
        <v>110</v>
      </c>
    </row>
    <row r="223">
      <c r="A223" s="37" t="s">
        <v>144</v>
      </c>
      <c r="B223" s="37" t="s">
        <v>146</v>
      </c>
      <c r="C223" s="36" t="s">
        <v>110</v>
      </c>
    </row>
    <row r="224">
      <c r="A224" s="37" t="s">
        <v>114</v>
      </c>
      <c r="B224" s="37" t="s">
        <v>161</v>
      </c>
      <c r="C224" s="36" t="s">
        <v>113</v>
      </c>
    </row>
    <row r="225">
      <c r="A225" s="37" t="s">
        <v>128</v>
      </c>
      <c r="B225" s="37" t="s">
        <v>129</v>
      </c>
      <c r="C225" s="36" t="s">
        <v>110</v>
      </c>
    </row>
    <row r="226">
      <c r="A226" s="37" t="s">
        <v>274</v>
      </c>
      <c r="B226" s="37" t="s">
        <v>277</v>
      </c>
      <c r="C226" s="36" t="s">
        <v>110</v>
      </c>
    </row>
    <row r="227">
      <c r="A227" s="37" t="s">
        <v>274</v>
      </c>
      <c r="B227" s="37" t="s">
        <v>284</v>
      </c>
      <c r="C227" s="36" t="s">
        <v>110</v>
      </c>
    </row>
    <row r="228">
      <c r="A228" s="37" t="s">
        <v>274</v>
      </c>
      <c r="B228" s="37" t="s">
        <v>280</v>
      </c>
      <c r="C228" s="36" t="s">
        <v>110</v>
      </c>
    </row>
    <row r="229">
      <c r="A229" s="37" t="s">
        <v>293</v>
      </c>
      <c r="B229" s="37" t="s">
        <v>300</v>
      </c>
      <c r="C229" s="36" t="s">
        <v>110</v>
      </c>
    </row>
    <row r="230">
      <c r="A230" s="37" t="s">
        <v>162</v>
      </c>
      <c r="B230" s="37" t="s">
        <v>163</v>
      </c>
      <c r="C230" s="36" t="s">
        <v>110</v>
      </c>
    </row>
    <row r="231">
      <c r="A231" s="37" t="s">
        <v>125</v>
      </c>
      <c r="B231" s="37" t="s">
        <v>127</v>
      </c>
      <c r="C231" s="36" t="s">
        <v>110</v>
      </c>
    </row>
    <row r="232">
      <c r="A232" s="37" t="s">
        <v>267</v>
      </c>
      <c r="B232" s="37" t="s">
        <v>269</v>
      </c>
      <c r="C232" s="36" t="s">
        <v>110</v>
      </c>
    </row>
    <row r="233">
      <c r="A233" s="37" t="s">
        <v>267</v>
      </c>
      <c r="B233" s="37" t="s">
        <v>272</v>
      </c>
      <c r="C233" s="36" t="s">
        <v>110</v>
      </c>
    </row>
    <row r="234">
      <c r="A234" s="37" t="s">
        <v>264</v>
      </c>
      <c r="B234" s="37" t="s">
        <v>266</v>
      </c>
      <c r="C234" s="36" t="s">
        <v>110</v>
      </c>
    </row>
    <row r="235">
      <c r="A235" s="37" t="s">
        <v>125</v>
      </c>
      <c r="B235" s="37" t="s">
        <v>126</v>
      </c>
      <c r="C235" s="36" t="s">
        <v>110</v>
      </c>
    </row>
    <row r="236">
      <c r="A236" s="37" t="s">
        <v>293</v>
      </c>
      <c r="B236" s="37" t="s">
        <v>302</v>
      </c>
      <c r="C236" s="36" t="s">
        <v>110</v>
      </c>
    </row>
    <row r="237">
      <c r="A237" s="37" t="s">
        <v>132</v>
      </c>
      <c r="B237" s="37" t="s">
        <v>136</v>
      </c>
      <c r="C237" s="36" t="s">
        <v>110</v>
      </c>
    </row>
    <row r="238">
      <c r="A238" s="37" t="s">
        <v>88</v>
      </c>
      <c r="B238" s="37" t="s">
        <v>91</v>
      </c>
      <c r="C238" s="36" t="s">
        <v>110</v>
      </c>
    </row>
    <row r="239">
      <c r="A239" s="37" t="s">
        <v>274</v>
      </c>
      <c r="B239" s="37" t="s">
        <v>275</v>
      </c>
      <c r="C239" s="36" t="s">
        <v>110</v>
      </c>
    </row>
    <row r="240">
      <c r="A240" s="37" t="s">
        <v>259</v>
      </c>
      <c r="B240" s="37" t="s">
        <v>263</v>
      </c>
      <c r="C240" s="36" t="s">
        <v>110</v>
      </c>
    </row>
    <row r="241">
      <c r="A241" s="37" t="s">
        <v>293</v>
      </c>
      <c r="B241" s="37" t="s">
        <v>301</v>
      </c>
      <c r="C241" s="36" t="s">
        <v>110</v>
      </c>
    </row>
    <row r="242">
      <c r="A242" s="37" t="s">
        <v>185</v>
      </c>
      <c r="B242" s="37" t="s">
        <v>186</v>
      </c>
      <c r="C242" s="36" t="s">
        <v>110</v>
      </c>
    </row>
    <row r="243">
      <c r="A243" s="37" t="s">
        <v>88</v>
      </c>
      <c r="B243" s="37" t="s">
        <v>92</v>
      </c>
      <c r="C243" s="36" t="s">
        <v>110</v>
      </c>
    </row>
    <row r="244">
      <c r="A244" s="37" t="s">
        <v>162</v>
      </c>
      <c r="B244" s="37" t="s">
        <v>165</v>
      </c>
      <c r="C244" s="36" t="s">
        <v>110</v>
      </c>
    </row>
    <row r="245">
      <c r="A245" s="37" t="s">
        <v>174</v>
      </c>
      <c r="B245" s="37" t="s">
        <v>178</v>
      </c>
      <c r="C245" s="36" t="s">
        <v>110</v>
      </c>
    </row>
    <row r="246">
      <c r="A246" s="37" t="s">
        <v>236</v>
      </c>
      <c r="B246" s="37" t="s">
        <v>238</v>
      </c>
      <c r="C246" s="36" t="s">
        <v>110</v>
      </c>
    </row>
    <row r="247">
      <c r="A247" s="37" t="s">
        <v>147</v>
      </c>
      <c r="B247" s="37" t="s">
        <v>150</v>
      </c>
      <c r="C247" s="36" t="s">
        <v>110</v>
      </c>
    </row>
    <row r="248">
      <c r="A248" s="37" t="s">
        <v>185</v>
      </c>
      <c r="B248" s="37" t="s">
        <v>187</v>
      </c>
      <c r="C248" s="36" t="s">
        <v>110</v>
      </c>
    </row>
    <row r="249">
      <c r="A249" s="37" t="s">
        <v>67</v>
      </c>
      <c r="B249" s="37" t="s">
        <v>84</v>
      </c>
      <c r="C249" s="36" t="s">
        <v>110</v>
      </c>
    </row>
    <row r="250">
      <c r="A250" s="37" t="s">
        <v>293</v>
      </c>
      <c r="B250" s="37" t="s">
        <v>294</v>
      </c>
      <c r="C250" s="36" t="s">
        <v>110</v>
      </c>
    </row>
    <row r="251">
      <c r="A251" s="37" t="s">
        <v>308</v>
      </c>
      <c r="B251" s="37" t="s">
        <v>145</v>
      </c>
      <c r="C251" s="36" t="s">
        <v>110</v>
      </c>
    </row>
    <row r="252">
      <c r="A252" s="37" t="s">
        <v>267</v>
      </c>
      <c r="B252" s="37" t="s">
        <v>268</v>
      </c>
      <c r="C252" s="36" t="s">
        <v>110</v>
      </c>
    </row>
    <row r="253">
      <c r="A253" s="37" t="s">
        <v>104</v>
      </c>
      <c r="B253" s="37" t="s">
        <v>105</v>
      </c>
      <c r="C253" s="36" t="s">
        <v>106</v>
      </c>
    </row>
    <row r="254">
      <c r="A254" s="37" t="s">
        <v>104</v>
      </c>
      <c r="B254" s="37" t="s">
        <v>248</v>
      </c>
      <c r="C254" s="36" t="s">
        <v>106</v>
      </c>
    </row>
    <row r="255">
      <c r="A255" s="37" t="s">
        <v>154</v>
      </c>
      <c r="B255" s="37" t="s">
        <v>155</v>
      </c>
      <c r="C255" s="36" t="s">
        <v>110</v>
      </c>
    </row>
    <row r="256">
      <c r="A256" s="37" t="s">
        <v>285</v>
      </c>
      <c r="B256" s="37" t="s">
        <v>286</v>
      </c>
      <c r="C256" s="36" t="s">
        <v>110</v>
      </c>
    </row>
    <row r="257">
      <c r="A257" s="37" t="s">
        <v>293</v>
      </c>
      <c r="B257" s="37" t="s">
        <v>306</v>
      </c>
      <c r="C257" s="36" t="s">
        <v>110</v>
      </c>
    </row>
    <row r="258">
      <c r="A258" s="37" t="s">
        <v>308</v>
      </c>
      <c r="B258" s="37" t="s">
        <v>309</v>
      </c>
      <c r="C258" s="36" t="s">
        <v>110</v>
      </c>
    </row>
    <row r="259">
      <c r="A259" s="37" t="s">
        <v>154</v>
      </c>
      <c r="B259" s="37" t="s">
        <v>156</v>
      </c>
      <c r="C259" s="36" t="s">
        <v>110</v>
      </c>
    </row>
    <row r="260">
      <c r="A260" s="37" t="s">
        <v>207</v>
      </c>
      <c r="B260" s="37" t="s">
        <v>208</v>
      </c>
      <c r="C260" s="36" t="s">
        <v>106</v>
      </c>
    </row>
    <row r="261">
      <c r="A261" s="37" t="s">
        <v>158</v>
      </c>
      <c r="B261" s="37" t="s">
        <v>195</v>
      </c>
      <c r="C261" s="36" t="s">
        <v>106</v>
      </c>
    </row>
    <row r="262">
      <c r="A262" s="37" t="s">
        <v>114</v>
      </c>
      <c r="B262" s="37" t="s">
        <v>134</v>
      </c>
      <c r="C262" s="36" t="s">
        <v>113</v>
      </c>
    </row>
    <row r="263">
      <c r="A263" s="37" t="s">
        <v>181</v>
      </c>
      <c r="B263" s="37" t="s">
        <v>182</v>
      </c>
      <c r="C263" s="36" t="s">
        <v>106</v>
      </c>
    </row>
    <row r="264">
      <c r="A264" s="37" t="s">
        <v>166</v>
      </c>
      <c r="B264" s="37" t="s">
        <v>167</v>
      </c>
      <c r="C264" s="36" t="s">
        <v>110</v>
      </c>
    </row>
    <row r="265">
      <c r="A265" s="37" t="s">
        <v>51</v>
      </c>
      <c r="B265" s="37" t="s">
        <v>58</v>
      </c>
      <c r="C265" s="36" t="s">
        <v>110</v>
      </c>
    </row>
    <row r="266">
      <c r="A266" s="37" t="s">
        <v>93</v>
      </c>
      <c r="B266" s="37" t="s">
        <v>97</v>
      </c>
      <c r="C266" s="36" t="s">
        <v>110</v>
      </c>
    </row>
    <row r="267">
      <c r="A267" s="37" t="s">
        <v>315</v>
      </c>
      <c r="B267" s="37" t="s">
        <v>317</v>
      </c>
      <c r="C267" s="36" t="s">
        <v>110</v>
      </c>
    </row>
    <row r="268">
      <c r="A268" s="37" t="s">
        <v>315</v>
      </c>
      <c r="B268" s="37" t="s">
        <v>271</v>
      </c>
      <c r="C268" s="36" t="s">
        <v>110</v>
      </c>
    </row>
    <row r="269">
      <c r="A269" s="37" t="s">
        <v>315</v>
      </c>
      <c r="B269" s="37" t="s">
        <v>316</v>
      </c>
      <c r="C269" s="36" t="s">
        <v>110</v>
      </c>
    </row>
    <row r="270">
      <c r="A270" s="37" t="s">
        <v>123</v>
      </c>
      <c r="B270" s="37" t="s">
        <v>124</v>
      </c>
      <c r="C270" s="36" t="s">
        <v>110</v>
      </c>
    </row>
    <row r="271">
      <c r="A271" s="37" t="s">
        <v>198</v>
      </c>
      <c r="B271" s="37" t="s">
        <v>199</v>
      </c>
      <c r="C271" s="36" t="s">
        <v>106</v>
      </c>
    </row>
    <row r="272">
      <c r="A272" s="37" t="s">
        <v>231</v>
      </c>
      <c r="B272" s="37" t="s">
        <v>232</v>
      </c>
      <c r="C272" s="36" t="s">
        <v>106</v>
      </c>
    </row>
    <row r="273">
      <c r="A273" s="37" t="s">
        <v>205</v>
      </c>
      <c r="B273" s="37" t="s">
        <v>206</v>
      </c>
      <c r="C273" s="36" t="s">
        <v>106</v>
      </c>
    </row>
    <row r="274">
      <c r="A274" s="37" t="s">
        <v>116</v>
      </c>
      <c r="B274" s="37" t="s">
        <v>117</v>
      </c>
      <c r="C274" s="36" t="s">
        <v>113</v>
      </c>
    </row>
    <row r="275">
      <c r="A275" s="37" t="s">
        <v>236</v>
      </c>
      <c r="B275" s="37" t="s">
        <v>240</v>
      </c>
      <c r="C275" s="36" t="s">
        <v>110</v>
      </c>
    </row>
    <row r="276">
      <c r="A276" s="37" t="s">
        <v>191</v>
      </c>
      <c r="B276" s="37" t="s">
        <v>192</v>
      </c>
      <c r="C276" s="36" t="s">
        <v>106</v>
      </c>
    </row>
    <row r="277">
      <c r="A277" s="37" t="s">
        <v>217</v>
      </c>
      <c r="B277" s="37" t="s">
        <v>218</v>
      </c>
      <c r="C277" s="36" t="s">
        <v>106</v>
      </c>
    </row>
    <row r="278">
      <c r="A278" s="37" t="s">
        <v>180</v>
      </c>
      <c r="B278" s="37" t="s">
        <v>145</v>
      </c>
      <c r="C278" s="36" t="s">
        <v>110</v>
      </c>
    </row>
    <row r="279">
      <c r="A279" s="37" t="s">
        <v>215</v>
      </c>
      <c r="B279" s="37" t="s">
        <v>216</v>
      </c>
      <c r="C279" s="36" t="s">
        <v>106</v>
      </c>
    </row>
    <row r="280">
      <c r="A280" s="37" t="s">
        <v>289</v>
      </c>
      <c r="B280" s="37" t="s">
        <v>290</v>
      </c>
      <c r="C280" s="36" t="s">
        <v>110</v>
      </c>
    </row>
    <row r="281">
      <c r="A281" s="37" t="s">
        <v>196</v>
      </c>
      <c r="B281" s="37" t="s">
        <v>197</v>
      </c>
      <c r="C281" s="36" t="s">
        <v>106</v>
      </c>
    </row>
    <row r="282">
      <c r="A282" s="37" t="s">
        <v>226</v>
      </c>
      <c r="B282" s="37" t="s">
        <v>227</v>
      </c>
      <c r="C282" s="36" t="s">
        <v>106</v>
      </c>
    </row>
    <row r="283">
      <c r="A283" s="37" t="s">
        <v>244</v>
      </c>
      <c r="B283" s="37" t="s">
        <v>245</v>
      </c>
      <c r="C283" s="36" t="s">
        <v>106</v>
      </c>
    </row>
    <row r="284">
      <c r="A284" s="37" t="s">
        <v>213</v>
      </c>
      <c r="B284" s="37" t="s">
        <v>214</v>
      </c>
      <c r="C284" s="36" t="s">
        <v>106</v>
      </c>
    </row>
    <row r="285">
      <c r="A285" s="37" t="s">
        <v>221</v>
      </c>
      <c r="B285" s="37" t="s">
        <v>223</v>
      </c>
      <c r="C285" s="36" t="s">
        <v>106</v>
      </c>
    </row>
    <row r="286">
      <c r="A286" s="37" t="s">
        <v>293</v>
      </c>
      <c r="B286" s="37" t="s">
        <v>295</v>
      </c>
      <c r="C286" s="36" t="s">
        <v>110</v>
      </c>
    </row>
    <row r="287">
      <c r="A287" s="37" t="s">
        <v>267</v>
      </c>
      <c r="B287" s="37" t="s">
        <v>271</v>
      </c>
      <c r="C287" s="36" t="s">
        <v>110</v>
      </c>
    </row>
    <row r="288">
      <c r="A288" s="37" t="s">
        <v>180</v>
      </c>
      <c r="B288" s="37" t="s">
        <v>102</v>
      </c>
      <c r="C288" s="36" t="s">
        <v>110</v>
      </c>
    </row>
    <row r="289">
      <c r="A289" s="37" t="s">
        <v>144</v>
      </c>
      <c r="B289" s="37" t="s">
        <v>145</v>
      </c>
      <c r="C289" s="36" t="s">
        <v>110</v>
      </c>
    </row>
    <row r="290">
      <c r="A290" s="37" t="s">
        <v>147</v>
      </c>
      <c r="B290" s="37" t="s">
        <v>148</v>
      </c>
      <c r="C290" s="36" t="s">
        <v>110</v>
      </c>
    </row>
    <row r="291">
      <c r="A291" s="37" t="s">
        <v>111</v>
      </c>
      <c r="B291" s="37" t="s">
        <v>112</v>
      </c>
      <c r="C291" s="36" t="s">
        <v>113</v>
      </c>
    </row>
    <row r="292">
      <c r="A292" s="37" t="s">
        <v>67</v>
      </c>
      <c r="B292" s="37" t="s">
        <v>72</v>
      </c>
      <c r="C292" s="36" t="s">
        <v>110</v>
      </c>
    </row>
    <row r="293">
      <c r="A293" s="37" t="s">
        <v>174</v>
      </c>
      <c r="B293" s="37" t="s">
        <v>175</v>
      </c>
      <c r="C293" s="36" t="s">
        <v>110</v>
      </c>
    </row>
    <row r="294">
      <c r="A294" s="37" t="s">
        <v>67</v>
      </c>
      <c r="B294" s="37" t="s">
        <v>76</v>
      </c>
      <c r="C294" s="36" t="s">
        <v>110</v>
      </c>
    </row>
    <row r="295">
      <c r="A295" s="37" t="s">
        <v>308</v>
      </c>
      <c r="B295" s="37" t="s">
        <v>312</v>
      </c>
      <c r="C295" s="36" t="s">
        <v>110</v>
      </c>
    </row>
    <row r="296">
      <c r="A296" s="37" t="s">
        <v>185</v>
      </c>
      <c r="B296" s="37" t="s">
        <v>190</v>
      </c>
      <c r="C296" s="36" t="s">
        <v>110</v>
      </c>
    </row>
    <row r="297">
      <c r="A297" s="37" t="s">
        <v>259</v>
      </c>
      <c r="B297" s="37" t="s">
        <v>260</v>
      </c>
      <c r="C297" s="36" t="s">
        <v>110</v>
      </c>
    </row>
    <row r="298">
      <c r="A298" s="37" t="s">
        <v>51</v>
      </c>
      <c r="B298" s="37" t="s">
        <v>52</v>
      </c>
      <c r="C298" s="36" t="s">
        <v>110</v>
      </c>
    </row>
    <row r="299">
      <c r="A299" s="37" t="s">
        <v>154</v>
      </c>
      <c r="B299" s="37" t="s">
        <v>102</v>
      </c>
      <c r="C299" s="36" t="s">
        <v>110</v>
      </c>
    </row>
    <row r="300">
      <c r="A300" s="37" t="s">
        <v>67</v>
      </c>
      <c r="B300" s="37" t="s">
        <v>83</v>
      </c>
      <c r="C300" s="36" t="s">
        <v>110</v>
      </c>
    </row>
    <row r="301">
      <c r="A301" s="37" t="s">
        <v>293</v>
      </c>
      <c r="B301" s="37" t="s">
        <v>304</v>
      </c>
      <c r="C301" s="36" t="s">
        <v>110</v>
      </c>
    </row>
    <row r="302">
      <c r="A302" s="37" t="s">
        <v>246</v>
      </c>
      <c r="B302" s="37" t="s">
        <v>247</v>
      </c>
      <c r="C302" s="36" t="s">
        <v>106</v>
      </c>
    </row>
    <row r="303">
      <c r="A303" s="37" t="s">
        <v>188</v>
      </c>
      <c r="B303" s="37" t="s">
        <v>189</v>
      </c>
      <c r="C303" s="36" t="s">
        <v>106</v>
      </c>
    </row>
    <row r="304">
      <c r="A304" s="37" t="s">
        <v>229</v>
      </c>
      <c r="B304" s="37" t="s">
        <v>253</v>
      </c>
      <c r="C304" s="36" t="s">
        <v>106</v>
      </c>
    </row>
    <row r="305">
      <c r="A305" s="37" t="s">
        <v>224</v>
      </c>
      <c r="B305" s="37" t="s">
        <v>225</v>
      </c>
      <c r="C305" s="36" t="s">
        <v>106</v>
      </c>
    </row>
    <row r="306">
      <c r="A306" s="37" t="s">
        <v>93</v>
      </c>
      <c r="B306" s="37" t="s">
        <v>101</v>
      </c>
      <c r="C306" s="36" t="s">
        <v>110</v>
      </c>
    </row>
    <row r="307">
      <c r="A307" s="37" t="s">
        <v>233</v>
      </c>
      <c r="B307" s="37" t="s">
        <v>234</v>
      </c>
      <c r="C307" s="36" t="s">
        <v>106</v>
      </c>
    </row>
    <row r="308">
      <c r="A308" s="37" t="s">
        <v>219</v>
      </c>
      <c r="B308" s="37" t="s">
        <v>220</v>
      </c>
      <c r="C308" s="36" t="s">
        <v>106</v>
      </c>
    </row>
    <row r="309">
      <c r="A309" s="37" t="s">
        <v>264</v>
      </c>
      <c r="B309" s="37" t="s">
        <v>265</v>
      </c>
      <c r="C309" s="36" t="s">
        <v>110</v>
      </c>
    </row>
    <row r="310">
      <c r="A310" s="37" t="s">
        <v>132</v>
      </c>
      <c r="B310" s="37" t="s">
        <v>139</v>
      </c>
      <c r="C310" s="36" t="s">
        <v>110</v>
      </c>
    </row>
    <row r="311">
      <c r="A311" s="37" t="s">
        <v>166</v>
      </c>
      <c r="B311" s="37" t="s">
        <v>169</v>
      </c>
      <c r="C311" s="36" t="s">
        <v>110</v>
      </c>
    </row>
    <row r="312">
      <c r="A312" s="37" t="s">
        <v>209</v>
      </c>
      <c r="B312" s="37" t="s">
        <v>210</v>
      </c>
      <c r="C312" s="36" t="s">
        <v>106</v>
      </c>
    </row>
    <row r="313">
      <c r="A313" s="37" t="s">
        <v>291</v>
      </c>
      <c r="B313" s="37" t="s">
        <v>292</v>
      </c>
      <c r="C313" s="36" t="s">
        <v>110</v>
      </c>
    </row>
    <row r="314">
      <c r="A314" s="37" t="s">
        <v>93</v>
      </c>
      <c r="B314" s="37" t="s">
        <v>96</v>
      </c>
      <c r="C314" s="36" t="s">
        <v>110</v>
      </c>
    </row>
    <row r="315">
      <c r="A315" s="37" t="s">
        <v>67</v>
      </c>
      <c r="B315" s="37" t="s">
        <v>79</v>
      </c>
      <c r="C315" s="36" t="s">
        <v>110</v>
      </c>
    </row>
    <row r="316">
      <c r="A316" s="37" t="s">
        <v>308</v>
      </c>
      <c r="B316" s="37" t="s">
        <v>310</v>
      </c>
      <c r="C316" s="36" t="s">
        <v>110</v>
      </c>
    </row>
    <row r="317">
      <c r="A317" s="37" t="s">
        <v>67</v>
      </c>
      <c r="B317" s="37" t="s">
        <v>68</v>
      </c>
      <c r="C317" s="36" t="s">
        <v>110</v>
      </c>
    </row>
    <row r="318">
      <c r="A318" s="37" t="s">
        <v>114</v>
      </c>
      <c r="B318" s="37" t="s">
        <v>179</v>
      </c>
      <c r="C318" s="36" t="s">
        <v>113</v>
      </c>
    </row>
    <row r="319">
      <c r="A319" s="37" t="s">
        <v>174</v>
      </c>
      <c r="B319" s="37" t="s">
        <v>145</v>
      </c>
      <c r="C319" s="36" t="s">
        <v>110</v>
      </c>
    </row>
    <row r="320">
      <c r="A320" s="37" t="s">
        <v>274</v>
      </c>
      <c r="B320" s="37" t="s">
        <v>276</v>
      </c>
      <c r="C320" s="36" t="s">
        <v>110</v>
      </c>
    </row>
    <row r="321">
      <c r="A321" s="37" t="s">
        <v>267</v>
      </c>
      <c r="B321" s="37" t="s">
        <v>270</v>
      </c>
      <c r="C321" s="36" t="s">
        <v>110</v>
      </c>
    </row>
    <row r="322">
      <c r="A322" s="37" t="s">
        <v>141</v>
      </c>
      <c r="B322" s="37" t="s">
        <v>142</v>
      </c>
      <c r="C322" s="36" t="s">
        <v>110</v>
      </c>
    </row>
    <row r="323">
      <c r="A323" s="37" t="s">
        <v>128</v>
      </c>
      <c r="B323" s="37" t="s">
        <v>130</v>
      </c>
      <c r="C323" s="36" t="s">
        <v>110</v>
      </c>
    </row>
    <row r="324">
      <c r="A324" s="37" t="s">
        <v>67</v>
      </c>
      <c r="B324" s="37" t="s">
        <v>77</v>
      </c>
      <c r="C324" s="36" t="s">
        <v>110</v>
      </c>
    </row>
    <row r="325">
      <c r="A325" s="37" t="s">
        <v>67</v>
      </c>
      <c r="B325" s="37" t="s">
        <v>81</v>
      </c>
      <c r="C325" s="36" t="s">
        <v>110</v>
      </c>
    </row>
    <row r="326">
      <c r="A326" s="37" t="s">
        <v>93</v>
      </c>
      <c r="B326" s="37" t="s">
        <v>98</v>
      </c>
      <c r="C326" s="36" t="s">
        <v>110</v>
      </c>
    </row>
    <row r="327">
      <c r="A327" s="37" t="s">
        <v>121</v>
      </c>
      <c r="B327" s="37" t="s">
        <v>122</v>
      </c>
      <c r="C327" s="36" t="s">
        <v>113</v>
      </c>
    </row>
    <row r="328">
      <c r="A328" s="37" t="s">
        <v>51</v>
      </c>
      <c r="B328" s="37" t="s">
        <v>55</v>
      </c>
      <c r="C328" s="36" t="s">
        <v>110</v>
      </c>
    </row>
    <row r="329">
      <c r="A329" s="37" t="s">
        <v>308</v>
      </c>
      <c r="B329" s="37" t="s">
        <v>311</v>
      </c>
      <c r="C329" s="36" t="s">
        <v>110</v>
      </c>
    </row>
    <row r="330">
      <c r="A330" s="37" t="s">
        <v>267</v>
      </c>
      <c r="B330" s="37" t="s">
        <v>273</v>
      </c>
      <c r="C330" s="36" t="s">
        <v>110</v>
      </c>
    </row>
    <row r="331">
      <c r="A331" s="37" t="s">
        <v>229</v>
      </c>
      <c r="B331" s="37" t="s">
        <v>230</v>
      </c>
      <c r="C331" s="36" t="s">
        <v>106</v>
      </c>
    </row>
    <row r="332">
      <c r="A332" s="37" t="s">
        <v>174</v>
      </c>
      <c r="B332" s="37" t="s">
        <v>176</v>
      </c>
      <c r="C332" s="36" t="s">
        <v>110</v>
      </c>
    </row>
    <row r="333">
      <c r="A333" s="37" t="s">
        <v>185</v>
      </c>
      <c r="B333" s="37" t="s">
        <v>133</v>
      </c>
      <c r="C333" s="36" t="s">
        <v>110</v>
      </c>
    </row>
    <row r="334">
      <c r="A334" s="37" t="s">
        <v>308</v>
      </c>
      <c r="B334" s="37" t="s">
        <v>314</v>
      </c>
      <c r="C334" s="36" t="s">
        <v>110</v>
      </c>
    </row>
    <row r="335">
      <c r="A335" s="37" t="s">
        <v>147</v>
      </c>
      <c r="B335" s="37" t="s">
        <v>151</v>
      </c>
      <c r="C335" s="36" t="s">
        <v>110</v>
      </c>
    </row>
    <row r="336">
      <c r="A336" s="37" t="s">
        <v>118</v>
      </c>
      <c r="B336" s="37" t="s">
        <v>120</v>
      </c>
      <c r="C336" s="36" t="s">
        <v>113</v>
      </c>
    </row>
    <row r="337">
      <c r="A337" s="37" t="s">
        <v>118</v>
      </c>
      <c r="B337" s="37" t="s">
        <v>119</v>
      </c>
      <c r="C337" s="36" t="s">
        <v>113</v>
      </c>
    </row>
    <row r="338">
      <c r="A338" s="37" t="s">
        <v>128</v>
      </c>
      <c r="B338" s="37" t="s">
        <v>131</v>
      </c>
      <c r="C338" s="36" t="s">
        <v>110</v>
      </c>
    </row>
    <row r="339">
      <c r="A339" s="37" t="s">
        <v>147</v>
      </c>
      <c r="B339" s="37" t="s">
        <v>149</v>
      </c>
      <c r="C339" s="36" t="s">
        <v>110</v>
      </c>
    </row>
    <row r="340">
      <c r="A340" s="37" t="s">
        <v>104</v>
      </c>
      <c r="B340" s="37" t="s">
        <v>173</v>
      </c>
      <c r="C340" s="36" t="s">
        <v>106</v>
      </c>
    </row>
    <row r="341">
      <c r="A341" s="37" t="s">
        <v>67</v>
      </c>
      <c r="B341" s="37" t="s">
        <v>85</v>
      </c>
      <c r="C341" s="36" t="s">
        <v>110</v>
      </c>
    </row>
    <row r="342">
      <c r="A342" s="37" t="s">
        <v>174</v>
      </c>
      <c r="B342" s="37" t="s">
        <v>177</v>
      </c>
      <c r="C342" s="36" t="s">
        <v>110</v>
      </c>
    </row>
    <row r="343">
      <c r="A343" s="37" t="s">
        <v>221</v>
      </c>
      <c r="B343" s="37" t="s">
        <v>222</v>
      </c>
      <c r="C343" s="36" t="s">
        <v>106</v>
      </c>
    </row>
    <row r="344">
      <c r="A344" s="37" t="s">
        <v>132</v>
      </c>
      <c r="B344" s="37" t="s">
        <v>140</v>
      </c>
      <c r="C344" s="36" t="s">
        <v>110</v>
      </c>
    </row>
    <row r="345">
      <c r="A345" s="37" t="s">
        <v>274</v>
      </c>
      <c r="B345" s="37" t="s">
        <v>279</v>
      </c>
      <c r="C345" s="36" t="s">
        <v>110</v>
      </c>
    </row>
    <row r="346">
      <c r="A346" s="37" t="s">
        <v>236</v>
      </c>
      <c r="B346" s="37" t="s">
        <v>241</v>
      </c>
      <c r="C346" s="36" t="s">
        <v>110</v>
      </c>
    </row>
    <row r="347">
      <c r="A347" s="37" t="s">
        <v>193</v>
      </c>
      <c r="B347" s="37" t="s">
        <v>194</v>
      </c>
      <c r="C347" s="36" t="s">
        <v>106</v>
      </c>
    </row>
    <row r="348">
      <c r="A348" s="37" t="s">
        <v>201</v>
      </c>
      <c r="B348" s="37" t="s">
        <v>202</v>
      </c>
      <c r="C348" s="36" t="s">
        <v>106</v>
      </c>
    </row>
    <row r="349">
      <c r="A349" s="37" t="s">
        <v>93</v>
      </c>
      <c r="B349" s="37" t="s">
        <v>102</v>
      </c>
      <c r="C349" s="36" t="s">
        <v>110</v>
      </c>
    </row>
    <row r="350">
      <c r="A350" s="37" t="s">
        <v>132</v>
      </c>
      <c r="B350" s="37" t="s">
        <v>138</v>
      </c>
      <c r="C350" s="36" t="s">
        <v>110</v>
      </c>
    </row>
    <row r="351">
      <c r="A351" s="37" t="s">
        <v>154</v>
      </c>
      <c r="B351" s="37" t="s">
        <v>157</v>
      </c>
      <c r="C351" s="36" t="s">
        <v>110</v>
      </c>
    </row>
    <row r="352">
      <c r="A352" s="37" t="s">
        <v>274</v>
      </c>
      <c r="B352" s="37" t="s">
        <v>282</v>
      </c>
      <c r="C352" s="36" t="s">
        <v>110</v>
      </c>
    </row>
    <row r="353">
      <c r="A353" s="37" t="s">
        <v>254</v>
      </c>
      <c r="B353" s="37" t="s">
        <v>255</v>
      </c>
      <c r="C353" s="37" t="s">
        <v>106</v>
      </c>
    </row>
    <row r="354">
      <c r="A354" s="37" t="s">
        <v>251</v>
      </c>
      <c r="B354" s="37" t="s">
        <v>252</v>
      </c>
      <c r="C354" s="37" t="s">
        <v>106</v>
      </c>
    </row>
    <row r="355">
      <c r="A355" s="37" t="s">
        <v>274</v>
      </c>
      <c r="B355" s="37" t="s">
        <v>281</v>
      </c>
      <c r="C355" s="36" t="s">
        <v>110</v>
      </c>
    </row>
    <row r="356">
      <c r="A356" s="37" t="s">
        <v>162</v>
      </c>
      <c r="B356" s="37" t="s">
        <v>164</v>
      </c>
      <c r="C356" s="36" t="s">
        <v>110</v>
      </c>
    </row>
  </sheetData>
  <autoFilter ref="$A$1:$Z$15239"/>
  <hyperlinks>
    <hyperlink r:id="rId1" ref="B163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2026-06-26T08:13:59Z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